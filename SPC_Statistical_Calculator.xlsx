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Data" sheetId="2" state="visible" r:id="rId2"/>
    <sheet name="Charts" sheetId="3" state="visible" r:id="rId3"/>
    <sheet name="History" sheetId="4" state="visible" r:id="rId4"/>
    <sheet name="Reference" sheetId="5" state="visible" r:id="rId5"/>
  </sheets>
  <definedNames>
    <definedName name="_xlnm.Print_Area" localSheetId="0">'Analysis'!$A$1:$J$31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000"/>
    <numFmt numFmtId="166" formatCode="0.0"/>
    <numFmt numFmtId="167" formatCode="0.0000%"/>
    <numFmt numFmtId="168" formatCode="#,##0.0"/>
    <numFmt numFmtId="169" formatCode="0.0000"/>
    <numFmt numFmtId="170" formatCode="YYYY-MM-DD"/>
  </numFmts>
  <fonts count="17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B7280"/>
      <sz val="10"/>
    </font>
    <font>
      <name val="Calibri"/>
      <b val="1"/>
      <color rgb="001E3A8A"/>
      <sz val="11"/>
    </font>
    <font>
      <name val="Calibri"/>
      <b val="1"/>
      <color rgb="001E3A8A"/>
      <sz val="10"/>
    </font>
    <font>
      <name val="Calibri"/>
      <sz val="11"/>
    </font>
    <font>
      <name val="Calibri"/>
      <i val="1"/>
      <color rgb="006B7280"/>
      <sz val="9"/>
    </font>
    <font>
      <name val="Calibri"/>
      <i val="1"/>
      <color rgb="00F97316"/>
      <sz val="9"/>
    </font>
    <font>
      <name val="Calibri"/>
      <b val="1"/>
      <color rgb="001E3A8A"/>
      <sz val="12"/>
    </font>
    <font>
      <name val="Calibri"/>
      <b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3B82F6"/>
      <sz val="10"/>
    </font>
    <font>
      <name val="Calibri"/>
      <b val="1"/>
      <color rgb="00FFFFFF"/>
      <sz val="11"/>
    </font>
    <font>
      <color rgb="006B7280"/>
      <sz val="9"/>
    </font>
    <font>
      <name val="Calibri"/>
      <b val="1"/>
      <color rgb="00047857"/>
      <sz val="10"/>
    </font>
  </fonts>
  <fills count="9">
    <fill>
      <patternFill/>
    </fill>
    <fill>
      <patternFill patternType="gray125"/>
    </fill>
    <fill>
      <patternFill patternType="solid">
        <fgColor rgb="00E0E7FF"/>
        <bgColor rgb="00E0E7FF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" fontId="5" fillId="4" borderId="1" applyAlignment="1" pivotButton="0" quotePrefix="0" xfId="0">
      <alignment horizontal="center" vertical="center" wrapText="1"/>
    </xf>
    <xf numFmtId="10" fontId="5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8" fillId="5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8" borderId="1" pivotButton="0" quotePrefix="0" xfId="0"/>
    <xf numFmtId="164" fontId="0" fillId="8" borderId="1" pivotButton="0" quotePrefix="0" xfId="0"/>
    <xf numFmtId="164" fontId="5" fillId="4" borderId="1" applyAlignment="1" pivotButton="0" quotePrefix="0" xfId="0">
      <alignment horizontal="center" vertical="center" wrapText="1"/>
    </xf>
    <xf numFmtId="0" fontId="16" fillId="0" borderId="0" pivotButton="0" quotePrefix="0" xfId="0"/>
    <xf numFmtId="2" fontId="0" fillId="0" borderId="1" pivotButton="0" quotePrefix="0" xfId="0"/>
    <xf numFmtId="169" fontId="0" fillId="0" borderId="1" pivotButton="0" quotePrefix="0" xfId="0"/>
    <xf numFmtId="0" fontId="0" fillId="0" borderId="1" pivotButton="0" quotePrefix="0" xfId="0"/>
    <xf numFmtId="17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047857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  <dxf>
      <font>
        <b val="1"/>
        <color rgb="00FFFFFF"/>
        <sz val="14"/>
      </font>
      <fill>
        <patternFill patternType="solid">
          <fgColor rgb="00059669"/>
          <bgColor rgb="00059669"/>
        </patternFill>
      </fill>
    </dxf>
    <dxf>
      <font>
        <b val="1"/>
        <color rgb="00FFFFFF"/>
        <sz val="14"/>
      </font>
      <fill>
        <patternFill patternType="solid">
          <fgColor rgb="00D97706"/>
          <bgColor rgb="00D97706"/>
        </patternFill>
      </fill>
    </dxf>
    <dxf>
      <font>
        <b val="1"/>
        <color rgb="00FFFFFF"/>
        <sz val="14"/>
      </font>
      <fill>
        <patternFill patternType="solid">
          <fgColor rgb="00DC2626"/>
          <bgColor rgb="00DC2626"/>
        </patternFill>
      </fill>
    </dxf>
    <dxf>
      <font>
        <color rgb="009CA3AF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1. Current Process Distribution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'Charts'!D4</f>
            </strRef>
          </tx>
          <spPr>
            <a:ln w="25000"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'Charts'!$D$5:$D$37</f>
            </numRef>
          </val>
        </ser>
        <ser>
          <idx val="1"/>
          <order val="1"/>
          <tx>
            <strRef>
              <f>'Charts'!E4</f>
            </strRef>
          </tx>
          <spPr>
            <a:ln>
              <a:solidFill>
                <a:srgbClr val="007BC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'Charts'!$E$5:$E$37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Measurement 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2. Capability Index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'Charts'!C41</f>
            </strRef>
          </tx>
          <spPr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'Charts'!$C$42:$C$43</f>
            </numRef>
          </val>
        </ser>
        <ser>
          <idx val="1"/>
          <order val="1"/>
          <tx>
            <strRef>
              <f>'Charts'!D41</f>
            </strRef>
          </tx>
          <spPr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'Charts'!$D$42:$D$43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39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B1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3" customWidth="1" min="4" max="4"/>
    <col width="3" customWidth="1" min="5" max="5"/>
    <col width="28" customWidth="1" min="6" max="6"/>
    <col width="18" customWidth="1" min="7" max="7"/>
    <col width="3" customWidth="1" min="8" max="8"/>
    <col width="28" customWidth="1" min="9" max="9"/>
    <col width="18" customWidth="1" min="10" max="10"/>
  </cols>
  <sheetData>
    <row r="1">
      <c r="B1" s="1" t="inlineStr">
        <is>
          <t>Statistical Process Capability &amp; Optimization Tool</t>
        </is>
      </c>
    </row>
    <row r="2">
      <c r="B2" s="2" t="inlineStr">
        <is>
          <t>Automotive Dimensional Capability Analysis — Single Characteristic | Excel Edition</t>
        </is>
      </c>
    </row>
    <row r="4">
      <c r="B4" s="3" t="inlineStr">
        <is>
          <t>I. SPECIFICATIONS</t>
        </is>
      </c>
      <c r="C4" s="4" t="n"/>
      <c r="F4" s="3" t="inlineStr">
        <is>
          <t>EFFECTIVE DATA (auto-selected by mode)</t>
        </is>
      </c>
      <c r="G4" s="4" t="n"/>
      <c r="I4" s="3" t="inlineStr">
        <is>
          <t>V. PROBABILITY &amp; DEFECTS</t>
        </is>
      </c>
      <c r="J4" s="4" t="n"/>
    </row>
    <row r="5">
      <c r="B5" s="5" t="inlineStr">
        <is>
          <t>Measurement Name</t>
        </is>
      </c>
      <c r="C5" s="6" t="inlineStr">
        <is>
          <t>Diameter A</t>
        </is>
      </c>
      <c r="F5" s="5" t="inlineStr">
        <is>
          <t>Worksheet x̄</t>
        </is>
      </c>
      <c r="G5" s="7">
        <f>Data!G6</f>
        <v/>
      </c>
      <c r="I5" s="5" t="inlineStr">
        <is>
          <t>P(x &gt; USL)</t>
        </is>
      </c>
      <c r="J5" s="8">
        <f>IF(G10=0,IF(G9&gt;C8,1,0),1-NORM.DIST(C8,G9,G10,TRUE))</f>
        <v/>
      </c>
    </row>
    <row r="6">
      <c r="B6" s="5" t="inlineStr">
        <is>
          <t>Target Mean (Tₘ)</t>
        </is>
      </c>
      <c r="C6" s="9" t="n">
        <v>10</v>
      </c>
      <c r="F6" s="5" t="inlineStr">
        <is>
          <t>Worksheet σ</t>
        </is>
      </c>
      <c r="G6" s="7">
        <f>Data!G7</f>
        <v/>
      </c>
      <c r="I6" s="5" t="inlineStr">
        <is>
          <t>P(x &lt; LSL)</t>
        </is>
      </c>
      <c r="J6" s="8">
        <f>IF(G10=0,IF(G9&lt;C7,1,0),NORM.DIST(C7,G9,G10,TRUE))</f>
        <v/>
      </c>
    </row>
    <row r="7">
      <c r="B7" s="5" t="inlineStr">
        <is>
          <t>Lower Spec Limit (LSL)</t>
        </is>
      </c>
      <c r="C7" s="9" t="n">
        <v>9.9</v>
      </c>
      <c r="F7" s="5" t="inlineStr">
        <is>
          <t>Worksheet n</t>
        </is>
      </c>
      <c r="G7" s="10">
        <f>Data!G5</f>
        <v/>
      </c>
      <c r="I7" s="5" t="inlineStr">
        <is>
          <t>P(x &lt; Tₘ)</t>
        </is>
      </c>
      <c r="J7" s="11">
        <f>IF(G10=0,IF(G9&lt;C6,1,0),NORM.DIST(C6,G9,G10,TRUE))</f>
        <v/>
      </c>
    </row>
    <row r="8">
      <c r="B8" s="5" t="inlineStr">
        <is>
          <t>Upper Spec Limit (USL)</t>
        </is>
      </c>
      <c r="C8" s="9" t="n">
        <v>10.1</v>
      </c>
      <c r="F8" s="12" t="inlineStr">
        <is>
          <t>▼ Active values used in calculations:</t>
        </is>
      </c>
      <c r="I8" s="5" t="inlineStr">
        <is>
          <t>PPM Above USL</t>
        </is>
      </c>
      <c r="J8" s="13">
        <f>J5*1000000</f>
        <v/>
      </c>
    </row>
    <row r="9">
      <c r="B9" s="3" t="inlineStr">
        <is>
          <t>II. DATA &amp; GOALS</t>
        </is>
      </c>
      <c r="C9" s="4" t="n"/>
      <c r="F9" s="5" t="inlineStr">
        <is>
          <t>x̄ (ACTIVE)</t>
        </is>
      </c>
      <c r="G9" s="14">
        <f>IF(C10="Use Data Worksheet",G5,C12)</f>
        <v/>
      </c>
      <c r="I9" s="5" t="inlineStr">
        <is>
          <t>PPM Below LSL</t>
        </is>
      </c>
      <c r="J9" s="13">
        <f>J6*1000000</f>
        <v/>
      </c>
    </row>
    <row r="10">
      <c r="B10" s="5" t="inlineStr">
        <is>
          <t>Data Input Mode</t>
        </is>
      </c>
      <c r="C10" s="6" t="inlineStr">
        <is>
          <t>Enter Manually</t>
        </is>
      </c>
      <c r="F10" s="5" t="inlineStr">
        <is>
          <t>σ (ACTIVE)</t>
        </is>
      </c>
      <c r="G10" s="14">
        <f>IF(C10="Use Data Worksheet",G6,C13)</f>
        <v/>
      </c>
      <c r="I10" s="5" t="inlineStr">
        <is>
          <t>Total PPM</t>
        </is>
      </c>
      <c r="J10" s="15">
        <f>J8+J9</f>
        <v/>
      </c>
    </row>
    <row r="11">
      <c r="B11" s="16" t="inlineStr">
        <is>
          <t>▼ Manual inputs (used when Mode = Enter Manually)</t>
        </is>
      </c>
      <c r="F11" s="5" t="inlineStr">
        <is>
          <t>n (ACTIVE)</t>
        </is>
      </c>
      <c r="G11" s="17">
        <f>IF(C10="Use Data Worksheet",G7,C14)</f>
        <v/>
      </c>
    </row>
    <row r="12">
      <c r="B12" s="5" t="inlineStr">
        <is>
          <t>x̄ (Measured Mean)</t>
        </is>
      </c>
      <c r="C12" s="18" t="n">
        <v>10</v>
      </c>
      <c r="I12" s="3" t="inlineStr">
        <is>
          <t>VI. HYPOTHESIS TEST (μ vs Tₘ)</t>
        </is>
      </c>
      <c r="J12" s="4" t="n"/>
    </row>
    <row r="13">
      <c r="B13" s="5" t="inlineStr">
        <is>
          <t>σ (Standard Deviation)</t>
        </is>
      </c>
      <c r="C13" s="18" t="n">
        <v>0.015</v>
      </c>
      <c r="F13" s="3" t="inlineStr">
        <is>
          <t>IV. CALCULATED RESULTS</t>
        </is>
      </c>
      <c r="G13" s="4" t="n"/>
      <c r="I13" s="5" t="inlineStr">
        <is>
          <t>Standard Error (SE)</t>
        </is>
      </c>
      <c r="J13" s="19">
        <f>IF(G10=0,0,G10/SQRT(G11))</f>
        <v/>
      </c>
    </row>
    <row r="14">
      <c r="B14" s="5" t="inlineStr">
        <is>
          <t>n (Sample Size)</t>
        </is>
      </c>
      <c r="C14" s="20" t="n">
        <v>30</v>
      </c>
      <c r="F14" s="5" t="inlineStr">
        <is>
          <t>Tolerance (T = USL − LSL)</t>
        </is>
      </c>
      <c r="G14" s="21">
        <f>C8-C7</f>
        <v/>
      </c>
      <c r="I14" s="5" t="inlineStr">
        <is>
          <t>Z-statistic</t>
        </is>
      </c>
      <c r="J14" s="21">
        <f>IF(J13=0,IF(G9=C6,0,999),(G9-C6)/J13)</f>
        <v/>
      </c>
    </row>
    <row r="15">
      <c r="B15" s="3" t="inlineStr">
        <is>
          <t>III. TARGETS &amp; SETTINGS</t>
        </is>
      </c>
      <c r="C15" s="4" t="n"/>
      <c r="F15" s="5" t="inlineStr">
        <is>
          <t>6σ Spread</t>
        </is>
      </c>
      <c r="G15" s="21">
        <f>6*G10</f>
        <v/>
      </c>
      <c r="I15" s="5" t="inlineStr">
        <is>
          <t>p-value</t>
        </is>
      </c>
      <c r="J15" s="22">
        <f>IF(C19="Two-Sided",2*(1-NORM.S.DIST(ABS(J14),TRUE)),IF(C19="Upper-Sided",1-NORM.S.DIST(J14,TRUE),NORM.S.DIST(J14,TRUE)))</f>
        <v/>
      </c>
    </row>
    <row r="16">
      <c r="B16" s="5" t="inlineStr">
        <is>
          <t>Target Capability Index</t>
        </is>
      </c>
      <c r="C16" s="23" t="n">
        <v>1.67</v>
      </c>
      <c r="F16" s="5" t="inlineStr">
        <is>
          <t>8σ Spread</t>
        </is>
      </c>
      <c r="G16" s="21">
        <f>8*G10</f>
        <v/>
      </c>
      <c r="I16" s="5" t="inlineStr">
        <is>
          <t>Alpha (α)</t>
        </is>
      </c>
      <c r="J16" s="24">
        <f>1-C17/100</f>
        <v/>
      </c>
    </row>
    <row r="17">
      <c r="B17" s="5" t="inlineStr">
        <is>
          <t>Confidence Level (%)</t>
        </is>
      </c>
      <c r="C17" s="25" t="n">
        <v>95</v>
      </c>
      <c r="F17" s="5" t="inlineStr">
        <is>
          <t>Cp (Potential Capability)</t>
        </is>
      </c>
      <c r="G17" s="21">
        <f>IF(G10=0,"∞",(C8-C7)/(6*G10))</f>
        <v/>
      </c>
      <c r="I17" s="5" t="inlineStr">
        <is>
          <t>Decision</t>
        </is>
      </c>
      <c r="J17" s="26">
        <f>IF(J15&lt;J16,"❌ Reject H₀ — Mean shifted","✅ Fail to Reject H₀ — On target")</f>
        <v/>
      </c>
    </row>
    <row r="18">
      <c r="B18" s="5" t="inlineStr">
        <is>
          <t>Decimal Places</t>
        </is>
      </c>
      <c r="C18" s="20" t="n">
        <v>3</v>
      </c>
      <c r="F18" s="5" t="inlineStr">
        <is>
          <t>Cpk (Actual Capability)</t>
        </is>
      </c>
      <c r="G18" s="21">
        <f>IF(G10=0,"∞",MIN((C8-G9)/(3*G10),(G9-C7)/(3*G10)))</f>
        <v/>
      </c>
      <c r="I18" s="5" t="inlineStr">
        <is>
          <t>CI Lower Bound</t>
        </is>
      </c>
      <c r="J18" s="22">
        <f>G9-NORM.S.INV(1-J16/2)*J13</f>
        <v/>
      </c>
    </row>
    <row r="19">
      <c r="B19" s="5" t="inlineStr">
        <is>
          <t>Hypothesis Type</t>
        </is>
      </c>
      <c r="C19" s="6" t="inlineStr">
        <is>
          <t>Two-Sided</t>
        </is>
      </c>
      <c r="F19" s="5" t="inlineStr">
        <is>
          <t>Required Shift (Δ = Tₘ − x̄)</t>
        </is>
      </c>
      <c r="G19" s="21">
        <f>C6-G9</f>
        <v/>
      </c>
      <c r="I19" s="5" t="inlineStr">
        <is>
          <t>CI Upper Bound</t>
        </is>
      </c>
      <c r="J19" s="22">
        <f>G9+NORM.S.INV(1-J16/2)*J13</f>
        <v/>
      </c>
    </row>
    <row r="20">
      <c r="F20" s="5" t="inlineStr">
        <is>
          <t>Shift Direction</t>
        </is>
      </c>
      <c r="G20" s="27">
        <f>IF(C6-G9=0,"✅ Centered",IF(C6-G9&gt;0,"⬆ Shift UP","⬇ Shift DOWN"))</f>
        <v/>
      </c>
    </row>
    <row r="21">
      <c r="F21" s="5" t="inlineStr">
        <is>
          <t>Required Tolerance (for target)</t>
        </is>
      </c>
      <c r="G21" s="21">
        <f>IF(G10=0,0,C16*6*G10)</f>
        <v/>
      </c>
      <c r="I21" s="3" t="inlineStr">
        <is>
          <t>VII. ASSESSMENT SUMMARY</t>
        </is>
      </c>
      <c r="J21" s="4" t="n"/>
    </row>
    <row r="22">
      <c r="F22" s="5" t="inlineStr">
        <is>
          <t>x̄ − 3σ</t>
        </is>
      </c>
      <c r="G22" s="21">
        <f>G9-3*G10</f>
        <v/>
      </c>
      <c r="I22" s="5" t="inlineStr">
        <is>
          <t>1. Centering</t>
        </is>
      </c>
      <c r="J22" s="28">
        <f>IF(G10=0,IF(C6-G9=0,"✅ Perfectly centered (σ=0)","⚠ σ=0 but shift of "&amp;TEXT(C6-G9,"0.000")&amp;" needed"),IF(ABS(C6-G9)&lt;G10*0.05,"✅ Well-centered","⚠ Off-target by "&amp;TEXT(C6-G9,"0.000")))</f>
        <v/>
      </c>
    </row>
    <row r="23">
      <c r="F23" s="5" t="inlineStr">
        <is>
          <t>x̄ + 3σ</t>
        </is>
      </c>
      <c r="G23" s="21">
        <f>G9+3*G10</f>
        <v/>
      </c>
      <c r="I23" s="5" t="inlineStr">
        <is>
          <t>2. Capability</t>
        </is>
      </c>
      <c r="J23" s="28">
        <f>IF(G10=0,"✅ Perfect (σ=0, index=∞)",IF(G18&gt;=C16,"✅ Capable: Cpk "&amp;TEXT(G18,"0.000")&amp;" ≥ "&amp;TEXT(C16,"0.00"),IF(G18&gt;=1,"⚠ Marginal: Cpk "&amp;TEXT(G18,"0.000"),"❌ Not Capable: Cpk "&amp;TEXT(G18,"0.000"))))</f>
        <v/>
      </c>
    </row>
    <row r="24">
      <c r="F24" s="5" t="inlineStr">
        <is>
          <t>x̄ − 4σ</t>
        </is>
      </c>
      <c r="G24" s="21">
        <f>G9-4*G10</f>
        <v/>
      </c>
      <c r="I24" s="5" t="inlineStr">
        <is>
          <t>3. Robustness</t>
        </is>
      </c>
      <c r="J24" s="28">
        <f>IF(G10=0,"✅ Robust (σ=0)",IF(AND(C7&lt;G24,C8&gt;G25),"✅ Robust: ±4σ within specs",IF(AND(C7&lt;G22,C8&gt;G23),"⚠ Marginal: ±3σ OK, ±4σ NOT","❌ Not Robust: ±3σ breaches specs")))</f>
        <v/>
      </c>
    </row>
    <row r="25">
      <c r="F25" s="5" t="inlineStr">
        <is>
          <t>x̄ + 4σ</t>
        </is>
      </c>
      <c r="G25" s="21">
        <f>G9+4*G10</f>
        <v/>
      </c>
      <c r="I25" s="5" t="inlineStr">
        <is>
          <t>4. Tolerance</t>
        </is>
      </c>
      <c r="J25" s="28">
        <f>IF(G10=0,"✅ Adequate (σ=0)",IF(G21&lt;=G14,"✅ Adequate: Tol "&amp;TEXT(G14,"0.000")&amp;" ≥ required "&amp;TEXT(G21,"0.000"),"❌ Inadequate: needs "&amp;TEXT(G21,"0.000")&amp;" but only "&amp;TEXT(G14,"0.000")))</f>
        <v/>
      </c>
    </row>
    <row r="26">
      <c r="I26" s="5" t="inlineStr">
        <is>
          <t>5. Hypothesis</t>
        </is>
      </c>
      <c r="J26" s="28">
        <f>J17</f>
        <v/>
      </c>
    </row>
    <row r="28">
      <c r="B28" s="29">
        <f>IF(OR(G18&lt;1,G21&gt;G14),"❌ ACTION REQUIRED — Process not capable",IF(OR(G18&lt;C16,ABS(C6-G9)&gt;G10*0.05,J15&lt;J16),"⚠ MARGINAL — Review recommendations","✅ PROCESS HEALTH: GOOD"))</f>
        <v/>
      </c>
      <c r="C28" s="30" t="n"/>
      <c r="D28" s="30" t="n"/>
      <c r="E28" s="30" t="n"/>
      <c r="F28" s="30" t="n"/>
      <c r="G28" s="30" t="n"/>
      <c r="H28" s="30" t="n"/>
      <c r="I28" s="30" t="n"/>
      <c r="J28" s="31" t="n"/>
    </row>
    <row r="30">
      <c r="B30" s="3" t="inlineStr">
        <is>
          <t>RECOMMENDATIONS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70" customHeight="1">
      <c r="B31" s="32">
        <f>IF(ABS(C6-G9)&gt;G10*0.05,"• Adjust process mean by "&amp;TEXT(C6-G9,"0.000")&amp;" to center on target.","")&amp;IF(G18&lt;C16,CHAR(10)&amp;"• Reduce variation (σ) to meet capability target of "&amp;TEXT(C16,"0.00")&amp;".","")&amp;IF(G21&gt;G14,CHAR(10)&amp;"• Widen tolerance or reduce σ. Required: "&amp;TEXT(G21,"0.000")&amp;", current: "&amp;TEXT(G14,"0.000")&amp;".","")&amp;IF(J15&lt;J16,CHAR(10)&amp;"• Hypothesis test shows significant mean shift (p="&amp;TEXT(J15,"0.0000")&amp;" &lt; α="&amp;TEXT(J16,"0.00")&amp;").","")&amp;IF(AND(G18&gt;=C16,ABS(C6-G9)&lt;=G10*0.05,G21&lt;=G14,J15&gt;=J16),"• Process meets all criteria. Monitor for stability.","")</f>
        <v/>
      </c>
    </row>
  </sheetData>
  <mergeCells count="15">
    <mergeCell ref="I21:J21"/>
    <mergeCell ref="F4:G4"/>
    <mergeCell ref="I12:J12"/>
    <mergeCell ref="I4:J4"/>
    <mergeCell ref="B15:C15"/>
    <mergeCell ref="B11:C11"/>
    <mergeCell ref="B28:J28"/>
    <mergeCell ref="B31:J31"/>
    <mergeCell ref="B1:J1"/>
    <mergeCell ref="F13:G13"/>
    <mergeCell ref="B9:C9"/>
    <mergeCell ref="B4:C4"/>
    <mergeCell ref="B30:J30"/>
    <mergeCell ref="B2:J2"/>
    <mergeCell ref="F8:G8"/>
  </mergeCells>
  <conditionalFormatting sqref="G17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18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conditionalFormatting sqref="B28">
    <cfRule type="expression" priority="7" dxfId="3">
      <formula>ISNUMBER(SEARCH("GOOD",B28))</formula>
    </cfRule>
    <cfRule type="expression" priority="8" dxfId="4">
      <formula>ISNUMBER(SEARCH("MARGINAL",B28))</formula>
    </cfRule>
    <cfRule type="expression" priority="9" dxfId="5">
      <formula>ISNUMBER(SEARCH("ACTION",B28))</formula>
    </cfRule>
  </conditionalFormatting>
  <conditionalFormatting sqref="C12:C14">
    <cfRule type="expression" priority="10" dxfId="6">
      <formula>$C$10="Use Data Worksheet"</formula>
    </cfRule>
  </conditionalFormatting>
  <dataValidations count="2">
    <dataValidation sqref="C10" showDropDown="0" showInputMessage="0" showErrorMessage="0" allowBlank="0" promptTitle="Mode" prompt="Choose data source" type="list">
      <formula1>"Enter Manually,Use Data Worksheet"</formula1>
    </dataValidation>
    <dataValidation sqref="C19" showDropDown="0" showInputMessage="0" showErrorMessage="0" allowBlank="0" type="list">
      <formula1>"Two-Sided,Upper-Sided,Lower-Sided"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B1:G1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24" customWidth="1" min="3" max="3"/>
    <col width="18" customWidth="1" min="4" max="4"/>
    <col width="4" customWidth="1" min="5" max="5"/>
    <col width="26" customWidth="1" min="6" max="6"/>
    <col width="18" customWidth="1" min="7" max="7"/>
  </cols>
  <sheetData>
    <row r="1">
      <c r="B1" s="1" t="inlineStr">
        <is>
          <t>Data Worksheet — Part-by-Part Entry</t>
        </is>
      </c>
    </row>
    <row r="2">
      <c r="B2" s="2" t="inlineStr">
        <is>
          <t>Enter DMC and measured Value below. Statistics auto-link to Analysis sheet when Mode = "Use Data Worksheet".</t>
        </is>
      </c>
    </row>
    <row r="3">
      <c r="B3" s="33">
        <f>Analysis!C5&amp;" | Tₘ="&amp;TEXT(Analysis!C6,"0.000")&amp;" | LSL="&amp;TEXT(Analysis!C7,"0.000")&amp;" | USL="&amp;TEXT(Analysis!C8,"0.000")</f>
        <v/>
      </c>
    </row>
    <row r="4">
      <c r="B4" s="34" t="inlineStr">
        <is>
          <t>#</t>
        </is>
      </c>
      <c r="C4" s="34" t="inlineStr">
        <is>
          <t>DMC / Serial Number</t>
        </is>
      </c>
      <c r="D4" s="34" t="inlineStr">
        <is>
          <t>Value</t>
        </is>
      </c>
      <c r="F4" s="3" t="inlineStr">
        <is>
          <t>AUTO-CALCULATED STATISTICS</t>
        </is>
      </c>
      <c r="G4" s="4" t="n"/>
    </row>
    <row r="5">
      <c r="B5" s="35" t="n">
        <v>1</v>
      </c>
      <c r="C5" s="36" t="n"/>
      <c r="D5" s="37" t="n"/>
      <c r="F5" s="5" t="inlineStr">
        <is>
          <t>Count (n)</t>
        </is>
      </c>
      <c r="G5" s="10">
        <f>COUNTA(D5:D104)</f>
        <v/>
      </c>
    </row>
    <row r="6">
      <c r="B6" s="35" t="n">
        <v>2</v>
      </c>
      <c r="C6" s="38" t="n"/>
      <c r="D6" s="39" t="n"/>
      <c r="F6" s="5" t="inlineStr">
        <is>
          <t>Mean (x̄)</t>
        </is>
      </c>
      <c r="G6" s="7">
        <f>IF(G5&gt;=2,AVERAGE(D5:D104),"")</f>
        <v/>
      </c>
    </row>
    <row r="7">
      <c r="B7" s="35" t="n">
        <v>3</v>
      </c>
      <c r="C7" s="36" t="n"/>
      <c r="D7" s="37" t="n"/>
      <c r="F7" s="5" t="inlineStr">
        <is>
          <t>Std Dev (σ)</t>
        </is>
      </c>
      <c r="G7" s="7">
        <f>IF(G5&gt;=2,STDEV.S(D5:D104),"")</f>
        <v/>
      </c>
    </row>
    <row r="8">
      <c r="B8" s="35" t="n">
        <v>4</v>
      </c>
      <c r="C8" s="38" t="n"/>
      <c r="D8" s="39" t="n"/>
      <c r="F8" s="5" t="inlineStr">
        <is>
          <t>Min</t>
        </is>
      </c>
      <c r="G8" s="40">
        <f>IF(G5&gt;=1,MIN(D5:D104),"")</f>
        <v/>
      </c>
    </row>
    <row r="9">
      <c r="B9" s="35" t="n">
        <v>5</v>
      </c>
      <c r="C9" s="36" t="n"/>
      <c r="D9" s="37" t="n"/>
      <c r="F9" s="5" t="inlineStr">
        <is>
          <t>Max</t>
        </is>
      </c>
      <c r="G9" s="40">
        <f>IF(G5&gt;=1,MAX(D5:D104),"")</f>
        <v/>
      </c>
    </row>
    <row r="10">
      <c r="B10" s="35" t="n">
        <v>6</v>
      </c>
      <c r="C10" s="38" t="n"/>
      <c r="D10" s="39" t="n"/>
      <c r="F10" s="5" t="inlineStr">
        <is>
          <t>Range</t>
        </is>
      </c>
      <c r="G10" s="40">
        <f>IF(G5&gt;=2,G9-G8,"")</f>
        <v/>
      </c>
    </row>
    <row r="11">
      <c r="B11" s="35" t="n">
        <v>7</v>
      </c>
      <c r="C11" s="36" t="n"/>
      <c r="D11" s="37" t="n"/>
      <c r="F11" s="5" t="inlineStr">
        <is>
          <t>Median</t>
        </is>
      </c>
      <c r="G11" s="40">
        <f>IF(G5&gt;=1,MEDIAN(D5:D104),"")</f>
        <v/>
      </c>
    </row>
    <row r="12">
      <c r="B12" s="35" t="n">
        <v>8</v>
      </c>
      <c r="C12" s="38" t="n"/>
      <c r="D12" s="39" t="n"/>
      <c r="F12" s="5" t="inlineStr">
        <is>
          <t>Q1 (25th %ile)</t>
        </is>
      </c>
      <c r="G12" s="40">
        <f>IF(G5&gt;=4,PERCENTILE(D5:D104,0.25),"")</f>
        <v/>
      </c>
    </row>
    <row r="13">
      <c r="B13" s="35" t="n">
        <v>9</v>
      </c>
      <c r="C13" s="36" t="n"/>
      <c r="D13" s="37" t="n"/>
      <c r="F13" s="5" t="inlineStr">
        <is>
          <t>Q3 (75th %ile)</t>
        </is>
      </c>
      <c r="G13" s="40">
        <f>IF(G5&gt;=4,PERCENTILE(D5:D104,0.75),"")</f>
        <v/>
      </c>
    </row>
    <row r="14">
      <c r="B14" s="35" t="n">
        <v>10</v>
      </c>
      <c r="C14" s="38" t="n"/>
      <c r="D14" s="39" t="n"/>
      <c r="F14" s="5" t="inlineStr">
        <is>
          <t>IQR</t>
        </is>
      </c>
      <c r="G14" s="40">
        <f>IF(G5&gt;=4,G13-G12,"")</f>
        <v/>
      </c>
    </row>
    <row r="15">
      <c r="B15" s="35" t="n">
        <v>11</v>
      </c>
      <c r="C15" s="36" t="n"/>
      <c r="D15" s="37" t="n"/>
      <c r="F15" s="5" t="inlineStr">
        <is>
          <t>Skewness</t>
        </is>
      </c>
      <c r="G15" s="40">
        <f>IF(G5&gt;=3,SKEW(D5:D104),"")</f>
        <v/>
      </c>
    </row>
    <row r="16">
      <c r="B16" s="35" t="n">
        <v>12</v>
      </c>
      <c r="C16" s="38" t="n"/>
      <c r="D16" s="39" t="n"/>
      <c r="F16" s="5" t="inlineStr">
        <is>
          <t>Kurtosis</t>
        </is>
      </c>
      <c r="G16" s="40">
        <f>IF(G5&gt;=4,KURT(D5:D104),"")</f>
        <v/>
      </c>
    </row>
    <row r="17">
      <c r="B17" s="35" t="n">
        <v>13</v>
      </c>
      <c r="C17" s="36" t="n"/>
      <c r="D17" s="37" t="n"/>
    </row>
    <row r="18">
      <c r="B18" s="35" t="n">
        <v>14</v>
      </c>
      <c r="C18" s="38" t="n"/>
      <c r="D18" s="39" t="n"/>
      <c r="F18" s="41">
        <f>IF(G5&gt;=2,"✅ "&amp;G5&amp;" data points ready. Analysis sheet auto-linked.","⚠ Need ≥2 data points.")</f>
        <v/>
      </c>
    </row>
    <row r="19">
      <c r="B19" s="35" t="n">
        <v>15</v>
      </c>
      <c r="C19" s="36" t="n"/>
      <c r="D19" s="37" t="n"/>
    </row>
    <row r="20">
      <c r="B20" s="35" t="n">
        <v>16</v>
      </c>
      <c r="C20" s="38" t="n"/>
      <c r="D20" s="39" t="n"/>
      <c r="F20" s="3" t="inlineStr">
        <is>
          <t>QUICK PREVIEW (from worksheet data)</t>
        </is>
      </c>
      <c r="G20" s="4" t="n"/>
    </row>
    <row r="21">
      <c r="B21" s="35" t="n">
        <v>17</v>
      </c>
      <c r="C21" s="36" t="n"/>
      <c r="D21" s="37" t="n"/>
      <c r="F21" s="5" t="inlineStr">
        <is>
          <t>Cp (preview)</t>
        </is>
      </c>
      <c r="G21" s="21">
        <f>IF(G7=""," — ", IF(G7=0,"∞",(Analysis!C8-Analysis!C7)/(6*G7)))</f>
        <v/>
      </c>
    </row>
    <row r="22">
      <c r="B22" s="35" t="n">
        <v>18</v>
      </c>
      <c r="C22" s="38" t="n"/>
      <c r="D22" s="39" t="n"/>
      <c r="F22" s="5" t="inlineStr">
        <is>
          <t>Cpk (preview)</t>
        </is>
      </c>
      <c r="G22" s="21">
        <f>IF(G7=""," — ", IF(G7=0,"∞",MIN((Analysis!C8-G6)/(3*G7),(G6-Analysis!C7)/(3*G7))))</f>
        <v/>
      </c>
    </row>
    <row r="23">
      <c r="B23" s="35" t="n">
        <v>19</v>
      </c>
      <c r="C23" s="36" t="n"/>
      <c r="D23" s="37" t="n"/>
    </row>
    <row r="24">
      <c r="B24" s="35" t="n">
        <v>20</v>
      </c>
      <c r="C24" s="38" t="n"/>
      <c r="D24" s="39" t="n"/>
    </row>
    <row r="25">
      <c r="B25" s="35" t="n">
        <v>21</v>
      </c>
      <c r="C25" s="36" t="n"/>
      <c r="D25" s="37" t="n"/>
    </row>
    <row r="26">
      <c r="B26" s="35" t="n">
        <v>22</v>
      </c>
      <c r="C26" s="38" t="n"/>
      <c r="D26" s="39" t="n"/>
    </row>
    <row r="27">
      <c r="B27" s="35" t="n">
        <v>23</v>
      </c>
      <c r="C27" s="36" t="n"/>
      <c r="D27" s="37" t="n"/>
    </row>
    <row r="28">
      <c r="B28" s="35" t="n">
        <v>24</v>
      </c>
      <c r="C28" s="38" t="n"/>
      <c r="D28" s="39" t="n"/>
    </row>
    <row r="29">
      <c r="B29" s="35" t="n">
        <v>25</v>
      </c>
      <c r="C29" s="36" t="n"/>
      <c r="D29" s="37" t="n"/>
    </row>
    <row r="30">
      <c r="B30" s="35" t="n">
        <v>26</v>
      </c>
      <c r="C30" s="38" t="n"/>
      <c r="D30" s="39" t="n"/>
    </row>
    <row r="31">
      <c r="B31" s="35" t="n">
        <v>27</v>
      </c>
      <c r="C31" s="36" t="n"/>
      <c r="D31" s="37" t="n"/>
    </row>
    <row r="32">
      <c r="B32" s="35" t="n">
        <v>28</v>
      </c>
      <c r="C32" s="38" t="n"/>
      <c r="D32" s="39" t="n"/>
    </row>
    <row r="33">
      <c r="B33" s="35" t="n">
        <v>29</v>
      </c>
      <c r="C33" s="36" t="n"/>
      <c r="D33" s="37" t="n"/>
    </row>
    <row r="34">
      <c r="B34" s="35" t="n">
        <v>30</v>
      </c>
      <c r="C34" s="38" t="n"/>
      <c r="D34" s="39" t="n"/>
    </row>
    <row r="35">
      <c r="B35" s="35" t="n">
        <v>31</v>
      </c>
      <c r="C35" s="36" t="n"/>
      <c r="D35" s="37" t="n"/>
    </row>
    <row r="36">
      <c r="B36" s="35" t="n">
        <v>32</v>
      </c>
      <c r="C36" s="38" t="n"/>
      <c r="D36" s="39" t="n"/>
    </row>
    <row r="37">
      <c r="B37" s="35" t="n">
        <v>33</v>
      </c>
      <c r="C37" s="36" t="n"/>
      <c r="D37" s="37" t="n"/>
    </row>
    <row r="38">
      <c r="B38" s="35" t="n">
        <v>34</v>
      </c>
      <c r="C38" s="38" t="n"/>
      <c r="D38" s="39" t="n"/>
    </row>
    <row r="39">
      <c r="B39" s="35" t="n">
        <v>35</v>
      </c>
      <c r="C39" s="36" t="n"/>
      <c r="D39" s="37" t="n"/>
    </row>
    <row r="40">
      <c r="B40" s="35" t="n">
        <v>36</v>
      </c>
      <c r="C40" s="38" t="n"/>
      <c r="D40" s="39" t="n"/>
    </row>
    <row r="41">
      <c r="B41" s="35" t="n">
        <v>37</v>
      </c>
      <c r="C41" s="36" t="n"/>
      <c r="D41" s="37" t="n"/>
    </row>
    <row r="42">
      <c r="B42" s="35" t="n">
        <v>38</v>
      </c>
      <c r="C42" s="38" t="n"/>
      <c r="D42" s="39" t="n"/>
    </row>
    <row r="43">
      <c r="B43" s="35" t="n">
        <v>39</v>
      </c>
      <c r="C43" s="36" t="n"/>
      <c r="D43" s="37" t="n"/>
    </row>
    <row r="44">
      <c r="B44" s="35" t="n">
        <v>40</v>
      </c>
      <c r="C44" s="38" t="n"/>
      <c r="D44" s="39" t="n"/>
    </row>
    <row r="45">
      <c r="B45" s="35" t="n">
        <v>41</v>
      </c>
      <c r="C45" s="36" t="n"/>
      <c r="D45" s="37" t="n"/>
    </row>
    <row r="46">
      <c r="B46" s="35" t="n">
        <v>42</v>
      </c>
      <c r="C46" s="38" t="n"/>
      <c r="D46" s="39" t="n"/>
    </row>
    <row r="47">
      <c r="B47" s="35" t="n">
        <v>43</v>
      </c>
      <c r="C47" s="36" t="n"/>
      <c r="D47" s="37" t="n"/>
    </row>
    <row r="48">
      <c r="B48" s="35" t="n">
        <v>44</v>
      </c>
      <c r="C48" s="38" t="n"/>
      <c r="D48" s="39" t="n"/>
    </row>
    <row r="49">
      <c r="B49" s="35" t="n">
        <v>45</v>
      </c>
      <c r="C49" s="36" t="n"/>
      <c r="D49" s="37" t="n"/>
    </row>
    <row r="50">
      <c r="B50" s="35" t="n">
        <v>46</v>
      </c>
      <c r="C50" s="38" t="n"/>
      <c r="D50" s="39" t="n"/>
    </row>
    <row r="51">
      <c r="B51" s="35" t="n">
        <v>47</v>
      </c>
      <c r="C51" s="36" t="n"/>
      <c r="D51" s="37" t="n"/>
    </row>
    <row r="52">
      <c r="B52" s="35" t="n">
        <v>48</v>
      </c>
      <c r="C52" s="38" t="n"/>
      <c r="D52" s="39" t="n"/>
    </row>
    <row r="53">
      <c r="B53" s="35" t="n">
        <v>49</v>
      </c>
      <c r="C53" s="36" t="n"/>
      <c r="D53" s="37" t="n"/>
    </row>
    <row r="54">
      <c r="B54" s="35" t="n">
        <v>50</v>
      </c>
      <c r="C54" s="38" t="n"/>
      <c r="D54" s="39" t="n"/>
    </row>
    <row r="55">
      <c r="B55" s="35" t="n">
        <v>51</v>
      </c>
      <c r="C55" s="36" t="n"/>
      <c r="D55" s="37" t="n"/>
    </row>
    <row r="56">
      <c r="B56" s="35" t="n">
        <v>52</v>
      </c>
      <c r="C56" s="38" t="n"/>
      <c r="D56" s="39" t="n"/>
    </row>
    <row r="57">
      <c r="B57" s="35" t="n">
        <v>53</v>
      </c>
      <c r="C57" s="36" t="n"/>
      <c r="D57" s="37" t="n"/>
    </row>
    <row r="58">
      <c r="B58" s="35" t="n">
        <v>54</v>
      </c>
      <c r="C58" s="38" t="n"/>
      <c r="D58" s="39" t="n"/>
    </row>
    <row r="59">
      <c r="B59" s="35" t="n">
        <v>55</v>
      </c>
      <c r="C59" s="36" t="n"/>
      <c r="D59" s="37" t="n"/>
    </row>
    <row r="60">
      <c r="B60" s="35" t="n">
        <v>56</v>
      </c>
      <c r="C60" s="38" t="n"/>
      <c r="D60" s="39" t="n"/>
    </row>
    <row r="61">
      <c r="B61" s="35" t="n">
        <v>57</v>
      </c>
      <c r="C61" s="36" t="n"/>
      <c r="D61" s="37" t="n"/>
    </row>
    <row r="62">
      <c r="B62" s="35" t="n">
        <v>58</v>
      </c>
      <c r="C62" s="38" t="n"/>
      <c r="D62" s="39" t="n"/>
    </row>
    <row r="63">
      <c r="B63" s="35" t="n">
        <v>59</v>
      </c>
      <c r="C63" s="36" t="n"/>
      <c r="D63" s="37" t="n"/>
    </row>
    <row r="64">
      <c r="B64" s="35" t="n">
        <v>60</v>
      </c>
      <c r="C64" s="38" t="n"/>
      <c r="D64" s="39" t="n"/>
    </row>
    <row r="65">
      <c r="B65" s="35" t="n">
        <v>61</v>
      </c>
      <c r="C65" s="36" t="n"/>
      <c r="D65" s="37" t="n"/>
    </row>
    <row r="66">
      <c r="B66" s="35" t="n">
        <v>62</v>
      </c>
      <c r="C66" s="38" t="n"/>
      <c r="D66" s="39" t="n"/>
    </row>
    <row r="67">
      <c r="B67" s="35" t="n">
        <v>63</v>
      </c>
      <c r="C67" s="36" t="n"/>
      <c r="D67" s="37" t="n"/>
    </row>
    <row r="68">
      <c r="B68" s="35" t="n">
        <v>64</v>
      </c>
      <c r="C68" s="38" t="n"/>
      <c r="D68" s="39" t="n"/>
    </row>
    <row r="69">
      <c r="B69" s="35" t="n">
        <v>65</v>
      </c>
      <c r="C69" s="36" t="n"/>
      <c r="D69" s="37" t="n"/>
    </row>
    <row r="70">
      <c r="B70" s="35" t="n">
        <v>66</v>
      </c>
      <c r="C70" s="38" t="n"/>
      <c r="D70" s="39" t="n"/>
    </row>
    <row r="71">
      <c r="B71" s="35" t="n">
        <v>67</v>
      </c>
      <c r="C71" s="36" t="n"/>
      <c r="D71" s="37" t="n"/>
    </row>
    <row r="72">
      <c r="B72" s="35" t="n">
        <v>68</v>
      </c>
      <c r="C72" s="38" t="n"/>
      <c r="D72" s="39" t="n"/>
    </row>
    <row r="73">
      <c r="B73" s="35" t="n">
        <v>69</v>
      </c>
      <c r="C73" s="36" t="n"/>
      <c r="D73" s="37" t="n"/>
    </row>
    <row r="74">
      <c r="B74" s="35" t="n">
        <v>70</v>
      </c>
      <c r="C74" s="38" t="n"/>
      <c r="D74" s="39" t="n"/>
    </row>
    <row r="75">
      <c r="B75" s="35" t="n">
        <v>71</v>
      </c>
      <c r="C75" s="36" t="n"/>
      <c r="D75" s="37" t="n"/>
    </row>
    <row r="76">
      <c r="B76" s="35" t="n">
        <v>72</v>
      </c>
      <c r="C76" s="38" t="n"/>
      <c r="D76" s="39" t="n"/>
    </row>
    <row r="77">
      <c r="B77" s="35" t="n">
        <v>73</v>
      </c>
      <c r="C77" s="36" t="n"/>
      <c r="D77" s="37" t="n"/>
    </row>
    <row r="78">
      <c r="B78" s="35" t="n">
        <v>74</v>
      </c>
      <c r="C78" s="38" t="n"/>
      <c r="D78" s="39" t="n"/>
    </row>
    <row r="79">
      <c r="B79" s="35" t="n">
        <v>75</v>
      </c>
      <c r="C79" s="36" t="n"/>
      <c r="D79" s="37" t="n"/>
    </row>
    <row r="80">
      <c r="B80" s="35" t="n">
        <v>76</v>
      </c>
      <c r="C80" s="38" t="n"/>
      <c r="D80" s="39" t="n"/>
    </row>
    <row r="81">
      <c r="B81" s="35" t="n">
        <v>77</v>
      </c>
      <c r="C81" s="36" t="n"/>
      <c r="D81" s="37" t="n"/>
    </row>
    <row r="82">
      <c r="B82" s="35" t="n">
        <v>78</v>
      </c>
      <c r="C82" s="38" t="n"/>
      <c r="D82" s="39" t="n"/>
    </row>
    <row r="83">
      <c r="B83" s="35" t="n">
        <v>79</v>
      </c>
      <c r="C83" s="36" t="n"/>
      <c r="D83" s="37" t="n"/>
    </row>
    <row r="84">
      <c r="B84" s="35" t="n">
        <v>80</v>
      </c>
      <c r="C84" s="38" t="n"/>
      <c r="D84" s="39" t="n"/>
    </row>
    <row r="85">
      <c r="B85" s="35" t="n">
        <v>81</v>
      </c>
      <c r="C85" s="36" t="n"/>
      <c r="D85" s="37" t="n"/>
    </row>
    <row r="86">
      <c r="B86" s="35" t="n">
        <v>82</v>
      </c>
      <c r="C86" s="38" t="n"/>
      <c r="D86" s="39" t="n"/>
    </row>
    <row r="87">
      <c r="B87" s="35" t="n">
        <v>83</v>
      </c>
      <c r="C87" s="36" t="n"/>
      <c r="D87" s="37" t="n"/>
    </row>
    <row r="88">
      <c r="B88" s="35" t="n">
        <v>84</v>
      </c>
      <c r="C88" s="38" t="n"/>
      <c r="D88" s="39" t="n"/>
    </row>
    <row r="89">
      <c r="B89" s="35" t="n">
        <v>85</v>
      </c>
      <c r="C89" s="36" t="n"/>
      <c r="D89" s="37" t="n"/>
    </row>
    <row r="90">
      <c r="B90" s="35" t="n">
        <v>86</v>
      </c>
      <c r="C90" s="38" t="n"/>
      <c r="D90" s="39" t="n"/>
    </row>
    <row r="91">
      <c r="B91" s="35" t="n">
        <v>87</v>
      </c>
      <c r="C91" s="36" t="n"/>
      <c r="D91" s="37" t="n"/>
    </row>
    <row r="92">
      <c r="B92" s="35" t="n">
        <v>88</v>
      </c>
      <c r="C92" s="38" t="n"/>
      <c r="D92" s="39" t="n"/>
    </row>
    <row r="93">
      <c r="B93" s="35" t="n">
        <v>89</v>
      </c>
      <c r="C93" s="36" t="n"/>
      <c r="D93" s="37" t="n"/>
    </row>
    <row r="94">
      <c r="B94" s="35" t="n">
        <v>90</v>
      </c>
      <c r="C94" s="38" t="n"/>
      <c r="D94" s="39" t="n"/>
    </row>
    <row r="95">
      <c r="B95" s="35" t="n">
        <v>91</v>
      </c>
      <c r="C95" s="36" t="n"/>
      <c r="D95" s="37" t="n"/>
    </row>
    <row r="96">
      <c r="B96" s="35" t="n">
        <v>92</v>
      </c>
      <c r="C96" s="38" t="n"/>
      <c r="D96" s="39" t="n"/>
    </row>
    <row r="97">
      <c r="B97" s="35" t="n">
        <v>93</v>
      </c>
      <c r="C97" s="36" t="n"/>
      <c r="D97" s="37" t="n"/>
    </row>
    <row r="98">
      <c r="B98" s="35" t="n">
        <v>94</v>
      </c>
      <c r="C98" s="38" t="n"/>
      <c r="D98" s="39" t="n"/>
    </row>
    <row r="99">
      <c r="B99" s="35" t="n">
        <v>95</v>
      </c>
      <c r="C99" s="36" t="n"/>
      <c r="D99" s="37" t="n"/>
    </row>
    <row r="100">
      <c r="B100" s="35" t="n">
        <v>96</v>
      </c>
      <c r="C100" s="38" t="n"/>
      <c r="D100" s="39" t="n"/>
    </row>
    <row r="101">
      <c r="B101" s="35" t="n">
        <v>97</v>
      </c>
      <c r="C101" s="36" t="n"/>
      <c r="D101" s="37" t="n"/>
    </row>
    <row r="102">
      <c r="B102" s="35" t="n">
        <v>98</v>
      </c>
      <c r="C102" s="38" t="n"/>
      <c r="D102" s="39" t="n"/>
    </row>
    <row r="103">
      <c r="B103" s="35" t="n">
        <v>99</v>
      </c>
      <c r="C103" s="36" t="n"/>
      <c r="D103" s="37" t="n"/>
    </row>
    <row r="104">
      <c r="B104" s="35" t="n">
        <v>100</v>
      </c>
      <c r="C104" s="38" t="n"/>
      <c r="D104" s="39" t="n"/>
    </row>
  </sheetData>
  <mergeCells count="6">
    <mergeCell ref="B2:G2"/>
    <mergeCell ref="F4:G4"/>
    <mergeCell ref="B3:D3"/>
    <mergeCell ref="F20:G20"/>
    <mergeCell ref="F18:G18"/>
    <mergeCell ref="B1:G1"/>
  </mergeCells>
  <conditionalFormatting sqref="G21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22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B1:F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" t="inlineStr">
        <is>
          <t>Visualization — Capability Charts</t>
        </is>
      </c>
    </row>
    <row r="3">
      <c r="B3" s="3" t="inlineStr">
        <is>
          <t>Normal Distribution Curve Data (auto-calculated)</t>
        </is>
      </c>
      <c r="C3" s="4" t="n"/>
      <c r="D3" s="4" t="n"/>
      <c r="E3" s="4" t="n"/>
    </row>
    <row r="4">
      <c r="B4" s="34" t="inlineStr">
        <is>
          <t>z</t>
        </is>
      </c>
      <c r="C4" s="34" t="inlineStr">
        <is>
          <t>x Value</t>
        </is>
      </c>
      <c r="D4" s="34" t="inlineStr">
        <is>
          <t>Current PDF</t>
        </is>
      </c>
      <c r="E4" s="34" t="inlineStr">
        <is>
          <t>Centered PDF</t>
        </is>
      </c>
    </row>
    <row r="5">
      <c r="B5" s="42" t="n">
        <v>-4</v>
      </c>
      <c r="C5" s="43">
        <f>Analysis!G9+B5*Analysis!G10</f>
        <v/>
      </c>
      <c r="D5" s="43">
        <f>IF(Analysis!G10&gt;0,(1/(Analysis!G10*SQRT(2*PI())))*EXP(-0.5*B5^2),0)</f>
        <v/>
      </c>
      <c r="E5" s="43">
        <f>IF(Analysis!G10&gt;0,(1/(Analysis!G10*SQRT(2*PI())))*EXP(-0.5*((C5-Analysis!C6)/Analysis!G10)^2),0)</f>
        <v/>
      </c>
    </row>
    <row r="6">
      <c r="B6" s="42" t="n">
        <v>-3.75</v>
      </c>
      <c r="C6" s="43">
        <f>Analysis!G9+B6*Analysis!G10</f>
        <v/>
      </c>
      <c r="D6" s="43">
        <f>IF(Analysis!G10&gt;0,(1/(Analysis!G10*SQRT(2*PI())))*EXP(-0.5*B6^2),0)</f>
        <v/>
      </c>
      <c r="E6" s="43">
        <f>IF(Analysis!G10&gt;0,(1/(Analysis!G10*SQRT(2*PI())))*EXP(-0.5*((C6-Analysis!C6)/Analysis!G10)^2),0)</f>
        <v/>
      </c>
    </row>
    <row r="7">
      <c r="B7" s="42" t="n">
        <v>-3.5</v>
      </c>
      <c r="C7" s="43">
        <f>Analysis!G9+B7*Analysis!G10</f>
        <v/>
      </c>
      <c r="D7" s="43">
        <f>IF(Analysis!G10&gt;0,(1/(Analysis!G10*SQRT(2*PI())))*EXP(-0.5*B7^2),0)</f>
        <v/>
      </c>
      <c r="E7" s="43">
        <f>IF(Analysis!G10&gt;0,(1/(Analysis!G10*SQRT(2*PI())))*EXP(-0.5*((C7-Analysis!C6)/Analysis!G10)^2),0)</f>
        <v/>
      </c>
    </row>
    <row r="8">
      <c r="B8" s="42" t="n">
        <v>-3.25</v>
      </c>
      <c r="C8" s="43">
        <f>Analysis!G9+B8*Analysis!G10</f>
        <v/>
      </c>
      <c r="D8" s="43">
        <f>IF(Analysis!G10&gt;0,(1/(Analysis!G10*SQRT(2*PI())))*EXP(-0.5*B8^2),0)</f>
        <v/>
      </c>
      <c r="E8" s="43">
        <f>IF(Analysis!G10&gt;0,(1/(Analysis!G10*SQRT(2*PI())))*EXP(-0.5*((C8-Analysis!C6)/Analysis!G10)^2),0)</f>
        <v/>
      </c>
    </row>
    <row r="9">
      <c r="B9" s="42" t="n">
        <v>-3</v>
      </c>
      <c r="C9" s="43">
        <f>Analysis!G9+B9*Analysis!G10</f>
        <v/>
      </c>
      <c r="D9" s="43">
        <f>IF(Analysis!G10&gt;0,(1/(Analysis!G10*SQRT(2*PI())))*EXP(-0.5*B9^2),0)</f>
        <v/>
      </c>
      <c r="E9" s="43">
        <f>IF(Analysis!G10&gt;0,(1/(Analysis!G10*SQRT(2*PI())))*EXP(-0.5*((C9-Analysis!C6)/Analysis!G10)^2),0)</f>
        <v/>
      </c>
    </row>
    <row r="10">
      <c r="B10" s="42" t="n">
        <v>-2.75</v>
      </c>
      <c r="C10" s="43">
        <f>Analysis!G9+B10*Analysis!G10</f>
        <v/>
      </c>
      <c r="D10" s="43">
        <f>IF(Analysis!G10&gt;0,(1/(Analysis!G10*SQRT(2*PI())))*EXP(-0.5*B10^2),0)</f>
        <v/>
      </c>
      <c r="E10" s="43">
        <f>IF(Analysis!G10&gt;0,(1/(Analysis!G10*SQRT(2*PI())))*EXP(-0.5*((C10-Analysis!C6)/Analysis!G10)^2),0)</f>
        <v/>
      </c>
    </row>
    <row r="11">
      <c r="B11" s="42" t="n">
        <v>-2.5</v>
      </c>
      <c r="C11" s="43">
        <f>Analysis!G9+B11*Analysis!G10</f>
        <v/>
      </c>
      <c r="D11" s="43">
        <f>IF(Analysis!G10&gt;0,(1/(Analysis!G10*SQRT(2*PI())))*EXP(-0.5*B11^2),0)</f>
        <v/>
      </c>
      <c r="E11" s="43">
        <f>IF(Analysis!G10&gt;0,(1/(Analysis!G10*SQRT(2*PI())))*EXP(-0.5*((C11-Analysis!C6)/Analysis!G10)^2),0)</f>
        <v/>
      </c>
    </row>
    <row r="12">
      <c r="B12" s="42" t="n">
        <v>-2.25</v>
      </c>
      <c r="C12" s="43">
        <f>Analysis!G9+B12*Analysis!G10</f>
        <v/>
      </c>
      <c r="D12" s="43">
        <f>IF(Analysis!G10&gt;0,(1/(Analysis!G10*SQRT(2*PI())))*EXP(-0.5*B12^2),0)</f>
        <v/>
      </c>
      <c r="E12" s="43">
        <f>IF(Analysis!G10&gt;0,(1/(Analysis!G10*SQRT(2*PI())))*EXP(-0.5*((C12-Analysis!C6)/Analysis!G10)^2),0)</f>
        <v/>
      </c>
    </row>
    <row r="13">
      <c r="B13" s="42" t="n">
        <v>-2</v>
      </c>
      <c r="C13" s="43">
        <f>Analysis!G9+B13*Analysis!G10</f>
        <v/>
      </c>
      <c r="D13" s="43">
        <f>IF(Analysis!G10&gt;0,(1/(Analysis!G10*SQRT(2*PI())))*EXP(-0.5*B13^2),0)</f>
        <v/>
      </c>
      <c r="E13" s="43">
        <f>IF(Analysis!G10&gt;0,(1/(Analysis!G10*SQRT(2*PI())))*EXP(-0.5*((C13-Analysis!C6)/Analysis!G10)^2),0)</f>
        <v/>
      </c>
    </row>
    <row r="14">
      <c r="B14" s="42" t="n">
        <v>-1.75</v>
      </c>
      <c r="C14" s="43">
        <f>Analysis!G9+B14*Analysis!G10</f>
        <v/>
      </c>
      <c r="D14" s="43">
        <f>IF(Analysis!G10&gt;0,(1/(Analysis!G10*SQRT(2*PI())))*EXP(-0.5*B14^2),0)</f>
        <v/>
      </c>
      <c r="E14" s="43">
        <f>IF(Analysis!G10&gt;0,(1/(Analysis!G10*SQRT(2*PI())))*EXP(-0.5*((C14-Analysis!C6)/Analysis!G10)^2),0)</f>
        <v/>
      </c>
    </row>
    <row r="15">
      <c r="B15" s="42" t="n">
        <v>-1.5</v>
      </c>
      <c r="C15" s="43">
        <f>Analysis!G9+B15*Analysis!G10</f>
        <v/>
      </c>
      <c r="D15" s="43">
        <f>IF(Analysis!G10&gt;0,(1/(Analysis!G10*SQRT(2*PI())))*EXP(-0.5*B15^2),0)</f>
        <v/>
      </c>
      <c r="E15" s="43">
        <f>IF(Analysis!G10&gt;0,(1/(Analysis!G10*SQRT(2*PI())))*EXP(-0.5*((C15-Analysis!C6)/Analysis!G10)^2),0)</f>
        <v/>
      </c>
    </row>
    <row r="16">
      <c r="B16" s="42" t="n">
        <v>-1.25</v>
      </c>
      <c r="C16" s="43">
        <f>Analysis!G9+B16*Analysis!G10</f>
        <v/>
      </c>
      <c r="D16" s="43">
        <f>IF(Analysis!G10&gt;0,(1/(Analysis!G10*SQRT(2*PI())))*EXP(-0.5*B16^2),0)</f>
        <v/>
      </c>
      <c r="E16" s="43">
        <f>IF(Analysis!G10&gt;0,(1/(Analysis!G10*SQRT(2*PI())))*EXP(-0.5*((C16-Analysis!C6)/Analysis!G10)^2),0)</f>
        <v/>
      </c>
    </row>
    <row r="17">
      <c r="B17" s="42" t="n">
        <v>-1</v>
      </c>
      <c r="C17" s="43">
        <f>Analysis!G9+B17*Analysis!G10</f>
        <v/>
      </c>
      <c r="D17" s="43">
        <f>IF(Analysis!G10&gt;0,(1/(Analysis!G10*SQRT(2*PI())))*EXP(-0.5*B17^2),0)</f>
        <v/>
      </c>
      <c r="E17" s="43">
        <f>IF(Analysis!G10&gt;0,(1/(Analysis!G10*SQRT(2*PI())))*EXP(-0.5*((C17-Analysis!C6)/Analysis!G10)^2),0)</f>
        <v/>
      </c>
    </row>
    <row r="18">
      <c r="B18" s="42" t="n">
        <v>-0.75</v>
      </c>
      <c r="C18" s="43">
        <f>Analysis!G9+B18*Analysis!G10</f>
        <v/>
      </c>
      <c r="D18" s="43">
        <f>IF(Analysis!G10&gt;0,(1/(Analysis!G10*SQRT(2*PI())))*EXP(-0.5*B18^2),0)</f>
        <v/>
      </c>
      <c r="E18" s="43">
        <f>IF(Analysis!G10&gt;0,(1/(Analysis!G10*SQRT(2*PI())))*EXP(-0.5*((C18-Analysis!C6)/Analysis!G10)^2),0)</f>
        <v/>
      </c>
    </row>
    <row r="19">
      <c r="B19" s="42" t="n">
        <v>-0.5</v>
      </c>
      <c r="C19" s="43">
        <f>Analysis!G9+B19*Analysis!G10</f>
        <v/>
      </c>
      <c r="D19" s="43">
        <f>IF(Analysis!G10&gt;0,(1/(Analysis!G10*SQRT(2*PI())))*EXP(-0.5*B19^2),0)</f>
        <v/>
      </c>
      <c r="E19" s="43">
        <f>IF(Analysis!G10&gt;0,(1/(Analysis!G10*SQRT(2*PI())))*EXP(-0.5*((C19-Analysis!C6)/Analysis!G10)^2),0)</f>
        <v/>
      </c>
    </row>
    <row r="20">
      <c r="B20" s="42" t="n">
        <v>-0.25</v>
      </c>
      <c r="C20" s="43">
        <f>Analysis!G9+B20*Analysis!G10</f>
        <v/>
      </c>
      <c r="D20" s="43">
        <f>IF(Analysis!G10&gt;0,(1/(Analysis!G10*SQRT(2*PI())))*EXP(-0.5*B20^2),0)</f>
        <v/>
      </c>
      <c r="E20" s="43">
        <f>IF(Analysis!G10&gt;0,(1/(Analysis!G10*SQRT(2*PI())))*EXP(-0.5*((C20-Analysis!C6)/Analysis!G10)^2),0)</f>
        <v/>
      </c>
    </row>
    <row r="21">
      <c r="B21" s="42" t="n">
        <v>0</v>
      </c>
      <c r="C21" s="43">
        <f>Analysis!G9+B21*Analysis!G10</f>
        <v/>
      </c>
      <c r="D21" s="43">
        <f>IF(Analysis!G10&gt;0,(1/(Analysis!G10*SQRT(2*PI())))*EXP(-0.5*B21^2),0)</f>
        <v/>
      </c>
      <c r="E21" s="43">
        <f>IF(Analysis!G10&gt;0,(1/(Analysis!G10*SQRT(2*PI())))*EXP(-0.5*((C21-Analysis!C6)/Analysis!G10)^2),0)</f>
        <v/>
      </c>
    </row>
    <row r="22">
      <c r="B22" s="42" t="n">
        <v>0.25</v>
      </c>
      <c r="C22" s="43">
        <f>Analysis!G9+B22*Analysis!G10</f>
        <v/>
      </c>
      <c r="D22" s="43">
        <f>IF(Analysis!G10&gt;0,(1/(Analysis!G10*SQRT(2*PI())))*EXP(-0.5*B22^2),0)</f>
        <v/>
      </c>
      <c r="E22" s="43">
        <f>IF(Analysis!G10&gt;0,(1/(Analysis!G10*SQRT(2*PI())))*EXP(-0.5*((C22-Analysis!C6)/Analysis!G10)^2),0)</f>
        <v/>
      </c>
    </row>
    <row r="23">
      <c r="B23" s="42" t="n">
        <v>0.5</v>
      </c>
      <c r="C23" s="43">
        <f>Analysis!G9+B23*Analysis!G10</f>
        <v/>
      </c>
      <c r="D23" s="43">
        <f>IF(Analysis!G10&gt;0,(1/(Analysis!G10*SQRT(2*PI())))*EXP(-0.5*B23^2),0)</f>
        <v/>
      </c>
      <c r="E23" s="43">
        <f>IF(Analysis!G10&gt;0,(1/(Analysis!G10*SQRT(2*PI())))*EXP(-0.5*((C23-Analysis!C6)/Analysis!G10)^2),0)</f>
        <v/>
      </c>
    </row>
    <row r="24">
      <c r="B24" s="42" t="n">
        <v>0.75</v>
      </c>
      <c r="C24" s="43">
        <f>Analysis!G9+B24*Analysis!G10</f>
        <v/>
      </c>
      <c r="D24" s="43">
        <f>IF(Analysis!G10&gt;0,(1/(Analysis!G10*SQRT(2*PI())))*EXP(-0.5*B24^2),0)</f>
        <v/>
      </c>
      <c r="E24" s="43">
        <f>IF(Analysis!G10&gt;0,(1/(Analysis!G10*SQRT(2*PI())))*EXP(-0.5*((C24-Analysis!C6)/Analysis!G10)^2),0)</f>
        <v/>
      </c>
    </row>
    <row r="25">
      <c r="B25" s="42" t="n">
        <v>1</v>
      </c>
      <c r="C25" s="43">
        <f>Analysis!G9+B25*Analysis!G10</f>
        <v/>
      </c>
      <c r="D25" s="43">
        <f>IF(Analysis!G10&gt;0,(1/(Analysis!G10*SQRT(2*PI())))*EXP(-0.5*B25^2),0)</f>
        <v/>
      </c>
      <c r="E25" s="43">
        <f>IF(Analysis!G10&gt;0,(1/(Analysis!G10*SQRT(2*PI())))*EXP(-0.5*((C25-Analysis!C6)/Analysis!G10)^2),0)</f>
        <v/>
      </c>
    </row>
    <row r="26">
      <c r="B26" s="42" t="n">
        <v>1.25</v>
      </c>
      <c r="C26" s="43">
        <f>Analysis!G9+B26*Analysis!G10</f>
        <v/>
      </c>
      <c r="D26" s="43">
        <f>IF(Analysis!G10&gt;0,(1/(Analysis!G10*SQRT(2*PI())))*EXP(-0.5*B26^2),0)</f>
        <v/>
      </c>
      <c r="E26" s="43">
        <f>IF(Analysis!G10&gt;0,(1/(Analysis!G10*SQRT(2*PI())))*EXP(-0.5*((C26-Analysis!C6)/Analysis!G10)^2),0)</f>
        <v/>
      </c>
    </row>
    <row r="27">
      <c r="B27" s="42" t="n">
        <v>1.5</v>
      </c>
      <c r="C27" s="43">
        <f>Analysis!G9+B27*Analysis!G10</f>
        <v/>
      </c>
      <c r="D27" s="43">
        <f>IF(Analysis!G10&gt;0,(1/(Analysis!G10*SQRT(2*PI())))*EXP(-0.5*B27^2),0)</f>
        <v/>
      </c>
      <c r="E27" s="43">
        <f>IF(Analysis!G10&gt;0,(1/(Analysis!G10*SQRT(2*PI())))*EXP(-0.5*((C27-Analysis!C6)/Analysis!G10)^2),0)</f>
        <v/>
      </c>
    </row>
    <row r="28">
      <c r="B28" s="42" t="n">
        <v>1.75</v>
      </c>
      <c r="C28" s="43">
        <f>Analysis!G9+B28*Analysis!G10</f>
        <v/>
      </c>
      <c r="D28" s="43">
        <f>IF(Analysis!G10&gt;0,(1/(Analysis!G10*SQRT(2*PI())))*EXP(-0.5*B28^2),0)</f>
        <v/>
      </c>
      <c r="E28" s="43">
        <f>IF(Analysis!G10&gt;0,(1/(Analysis!G10*SQRT(2*PI())))*EXP(-0.5*((C28-Analysis!C6)/Analysis!G10)^2),0)</f>
        <v/>
      </c>
    </row>
    <row r="29">
      <c r="B29" s="42" t="n">
        <v>2</v>
      </c>
      <c r="C29" s="43">
        <f>Analysis!G9+B29*Analysis!G10</f>
        <v/>
      </c>
      <c r="D29" s="43">
        <f>IF(Analysis!G10&gt;0,(1/(Analysis!G10*SQRT(2*PI())))*EXP(-0.5*B29^2),0)</f>
        <v/>
      </c>
      <c r="E29" s="43">
        <f>IF(Analysis!G10&gt;0,(1/(Analysis!G10*SQRT(2*PI())))*EXP(-0.5*((C29-Analysis!C6)/Analysis!G10)^2),0)</f>
        <v/>
      </c>
    </row>
    <row r="30">
      <c r="B30" s="42" t="n">
        <v>2.25</v>
      </c>
      <c r="C30" s="43">
        <f>Analysis!G9+B30*Analysis!G10</f>
        <v/>
      </c>
      <c r="D30" s="43">
        <f>IF(Analysis!G10&gt;0,(1/(Analysis!G10*SQRT(2*PI())))*EXP(-0.5*B30^2),0)</f>
        <v/>
      </c>
      <c r="E30" s="43">
        <f>IF(Analysis!G10&gt;0,(1/(Analysis!G10*SQRT(2*PI())))*EXP(-0.5*((C30-Analysis!C6)/Analysis!G10)^2),0)</f>
        <v/>
      </c>
    </row>
    <row r="31">
      <c r="B31" s="42" t="n">
        <v>2.5</v>
      </c>
      <c r="C31" s="43">
        <f>Analysis!G9+B31*Analysis!G10</f>
        <v/>
      </c>
      <c r="D31" s="43">
        <f>IF(Analysis!G10&gt;0,(1/(Analysis!G10*SQRT(2*PI())))*EXP(-0.5*B31^2),0)</f>
        <v/>
      </c>
      <c r="E31" s="43">
        <f>IF(Analysis!G10&gt;0,(1/(Analysis!G10*SQRT(2*PI())))*EXP(-0.5*((C31-Analysis!C6)/Analysis!G10)^2),0)</f>
        <v/>
      </c>
    </row>
    <row r="32">
      <c r="B32" s="42" t="n">
        <v>2.75</v>
      </c>
      <c r="C32" s="43">
        <f>Analysis!G9+B32*Analysis!G10</f>
        <v/>
      </c>
      <c r="D32" s="43">
        <f>IF(Analysis!G10&gt;0,(1/(Analysis!G10*SQRT(2*PI())))*EXP(-0.5*B32^2),0)</f>
        <v/>
      </c>
      <c r="E32" s="43">
        <f>IF(Analysis!G10&gt;0,(1/(Analysis!G10*SQRT(2*PI())))*EXP(-0.5*((C32-Analysis!C6)/Analysis!G10)^2),0)</f>
        <v/>
      </c>
    </row>
    <row r="33">
      <c r="B33" s="42" t="n">
        <v>3</v>
      </c>
      <c r="C33" s="43">
        <f>Analysis!G9+B33*Analysis!G10</f>
        <v/>
      </c>
      <c r="D33" s="43">
        <f>IF(Analysis!G10&gt;0,(1/(Analysis!G10*SQRT(2*PI())))*EXP(-0.5*B33^2),0)</f>
        <v/>
      </c>
      <c r="E33" s="43">
        <f>IF(Analysis!G10&gt;0,(1/(Analysis!G10*SQRT(2*PI())))*EXP(-0.5*((C33-Analysis!C6)/Analysis!G10)^2),0)</f>
        <v/>
      </c>
    </row>
    <row r="34">
      <c r="B34" s="42" t="n">
        <v>3.25</v>
      </c>
      <c r="C34" s="43">
        <f>Analysis!G9+B34*Analysis!G10</f>
        <v/>
      </c>
      <c r="D34" s="43">
        <f>IF(Analysis!G10&gt;0,(1/(Analysis!G10*SQRT(2*PI())))*EXP(-0.5*B34^2),0)</f>
        <v/>
      </c>
      <c r="E34" s="43">
        <f>IF(Analysis!G10&gt;0,(1/(Analysis!G10*SQRT(2*PI())))*EXP(-0.5*((C34-Analysis!C6)/Analysis!G10)^2),0)</f>
        <v/>
      </c>
    </row>
    <row r="35">
      <c r="B35" s="42" t="n">
        <v>3.5</v>
      </c>
      <c r="C35" s="43">
        <f>Analysis!G9+B35*Analysis!G10</f>
        <v/>
      </c>
      <c r="D35" s="43">
        <f>IF(Analysis!G10&gt;0,(1/(Analysis!G10*SQRT(2*PI())))*EXP(-0.5*B35^2),0)</f>
        <v/>
      </c>
      <c r="E35" s="43">
        <f>IF(Analysis!G10&gt;0,(1/(Analysis!G10*SQRT(2*PI())))*EXP(-0.5*((C35-Analysis!C6)/Analysis!G10)^2),0)</f>
        <v/>
      </c>
    </row>
    <row r="36">
      <c r="B36" s="42" t="n">
        <v>3.75</v>
      </c>
      <c r="C36" s="43">
        <f>Analysis!G9+B36*Analysis!G10</f>
        <v/>
      </c>
      <c r="D36" s="43">
        <f>IF(Analysis!G10&gt;0,(1/(Analysis!G10*SQRT(2*PI())))*EXP(-0.5*B36^2),0)</f>
        <v/>
      </c>
      <c r="E36" s="43">
        <f>IF(Analysis!G10&gt;0,(1/(Analysis!G10*SQRT(2*PI())))*EXP(-0.5*((C36-Analysis!C6)/Analysis!G10)^2),0)</f>
        <v/>
      </c>
    </row>
    <row r="37">
      <c r="B37" s="42" t="n">
        <v>4</v>
      </c>
      <c r="C37" s="43">
        <f>Analysis!G9+B37*Analysis!G10</f>
        <v/>
      </c>
      <c r="D37" s="43">
        <f>IF(Analysis!G10&gt;0,(1/(Analysis!G10*SQRT(2*PI())))*EXP(-0.5*B37^2),0)</f>
        <v/>
      </c>
      <c r="E37" s="43">
        <f>IF(Analysis!G10&gt;0,(1/(Analysis!G10*SQRT(2*PI())))*EXP(-0.5*((C37-Analysis!C6)/Analysis!G10)^2),0)</f>
        <v/>
      </c>
    </row>
    <row r="40">
      <c r="B40" s="3" t="inlineStr">
        <is>
          <t>Capability Index Comparison</t>
        </is>
      </c>
      <c r="C40" s="4" t="n"/>
      <c r="D40" s="4" t="n"/>
      <c r="E40" s="4" t="n"/>
    </row>
    <row r="41">
      <c r="B41" s="34" t="inlineStr">
        <is>
          <t>Metric</t>
        </is>
      </c>
      <c r="C41" s="34" t="inlineStr">
        <is>
          <t>Value</t>
        </is>
      </c>
      <c r="D41" s="34" t="inlineStr">
        <is>
          <t>Target</t>
        </is>
      </c>
      <c r="E41" s="34" t="inlineStr"/>
    </row>
    <row r="42">
      <c r="B42" s="44" t="inlineStr">
        <is>
          <t>Cp</t>
        </is>
      </c>
      <c r="C42" s="42">
        <f>Analysis!G17</f>
        <v/>
      </c>
      <c r="D42" s="42">
        <f>Analysis!C16</f>
        <v/>
      </c>
    </row>
    <row r="43">
      <c r="B43" s="44" t="inlineStr">
        <is>
          <t>Cpk</t>
        </is>
      </c>
      <c r="C43" s="42">
        <f>Analysis!G18</f>
        <v/>
      </c>
      <c r="D43" s="42">
        <f>Analysis!C16</f>
        <v/>
      </c>
    </row>
    <row r="46">
      <c r="B46" s="3" t="inlineStr">
        <is>
          <t>Specification Lines</t>
        </is>
      </c>
      <c r="C46" s="4" t="n"/>
      <c r="D46" s="4" t="n"/>
    </row>
    <row r="47">
      <c r="B47" s="5" t="inlineStr">
        <is>
          <t>LSL</t>
        </is>
      </c>
      <c r="C47" s="21">
        <f>Analysis!C7</f>
        <v/>
      </c>
    </row>
    <row r="48">
      <c r="B48" s="5" t="inlineStr">
        <is>
          <t>USL</t>
        </is>
      </c>
      <c r="C48" s="21">
        <f>Analysis!C8</f>
        <v/>
      </c>
    </row>
    <row r="49">
      <c r="B49" s="5" t="inlineStr">
        <is>
          <t>Target (Tₘ)</t>
        </is>
      </c>
      <c r="C49" s="21">
        <f>Analysis!C6</f>
        <v/>
      </c>
    </row>
    <row r="50">
      <c r="B50" s="5" t="inlineStr">
        <is>
          <t>Mean (x̄)</t>
        </is>
      </c>
      <c r="C50" s="21">
        <f>Analysis!G9</f>
        <v/>
      </c>
    </row>
  </sheetData>
  <mergeCells count="4">
    <mergeCell ref="B46:D46"/>
    <mergeCell ref="B40:E40"/>
    <mergeCell ref="B3:E3"/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1:O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6" customWidth="1" min="3" max="3"/>
    <col width="16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6" customWidth="1" min="10" max="10"/>
    <col width="10" customWidth="1" min="11" max="11"/>
    <col width="10" customWidth="1" min="12" max="12"/>
    <col width="12" customWidth="1" min="13" max="13"/>
    <col width="12" customWidth="1" min="14" max="14"/>
    <col width="36" customWidth="1" min="15" max="15"/>
  </cols>
  <sheetData>
    <row r="1">
      <c r="B1" s="1" t="inlineStr">
        <is>
          <t>Analysis History Log</t>
        </is>
      </c>
    </row>
    <row r="2">
      <c r="B2" s="2" t="inlineStr">
        <is>
          <t>Row 4 is auto-linked to the current Analysis. To save a run, copy-paste Row 4 as VALUES into the next empty row.</t>
        </is>
      </c>
    </row>
    <row r="3">
      <c r="B3" s="34" t="inlineStr">
        <is>
          <t>Date</t>
        </is>
      </c>
      <c r="C3" s="34" t="inlineStr">
        <is>
          <t>Name</t>
        </is>
      </c>
      <c r="D3" s="34" t="inlineStr">
        <is>
          <t>Mode</t>
        </is>
      </c>
      <c r="E3" s="34" t="inlineStr">
        <is>
          <t>Tₘ</t>
        </is>
      </c>
      <c r="F3" s="34" t="inlineStr">
        <is>
          <t>LSL</t>
        </is>
      </c>
      <c r="G3" s="34" t="inlineStr">
        <is>
          <t>USL</t>
        </is>
      </c>
      <c r="H3" s="34" t="inlineStr">
        <is>
          <t>x̄</t>
        </is>
      </c>
      <c r="I3" s="34" t="inlineStr">
        <is>
          <t>σ</t>
        </is>
      </c>
      <c r="J3" s="34" t="inlineStr">
        <is>
          <t>n</t>
        </is>
      </c>
      <c r="K3" s="34" t="inlineStr">
        <is>
          <t>Cp</t>
        </is>
      </c>
      <c r="L3" s="34" t="inlineStr">
        <is>
          <t>Cpk</t>
        </is>
      </c>
      <c r="M3" s="34" t="inlineStr">
        <is>
          <t>PPM Total</t>
        </is>
      </c>
      <c r="N3" s="34" t="inlineStr">
        <is>
          <t>Shift (Δ)</t>
        </is>
      </c>
      <c r="O3" s="34" t="inlineStr">
        <is>
          <t>Verdict</t>
        </is>
      </c>
    </row>
    <row r="4">
      <c r="B4" s="45">
        <f>TODAY()</f>
        <v/>
      </c>
      <c r="C4" s="46">
        <f>Analysis!C5</f>
        <v/>
      </c>
      <c r="D4" s="46">
        <f>Analysis!C10</f>
        <v/>
      </c>
      <c r="E4" s="47">
        <f>Analysis!C6</f>
        <v/>
      </c>
      <c r="F4" s="47">
        <f>Analysis!C7</f>
        <v/>
      </c>
      <c r="G4" s="47">
        <f>Analysis!C8</f>
        <v/>
      </c>
      <c r="H4" s="48">
        <f>Analysis!G9</f>
        <v/>
      </c>
      <c r="I4" s="48">
        <f>Analysis!G10</f>
        <v/>
      </c>
      <c r="J4" s="49">
        <f>Analysis!G11</f>
        <v/>
      </c>
      <c r="K4" s="47">
        <f>Analysis!G17</f>
        <v/>
      </c>
      <c r="L4" s="47">
        <f>Analysis!G18</f>
        <v/>
      </c>
      <c r="M4" s="50">
        <f>Analysis!J10</f>
        <v/>
      </c>
      <c r="N4" s="47">
        <f>Analysis!G19</f>
        <v/>
      </c>
      <c r="O4" s="46">
        <f>Analysis!B28</f>
        <v/>
      </c>
    </row>
    <row r="5"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</row>
    <row r="6"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</row>
    <row r="7"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</row>
    <row r="8"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</row>
    <row r="9"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</row>
    <row r="10"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</row>
    <row r="12"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</row>
    <row r="13"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</row>
    <row r="14"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</row>
    <row r="15"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</row>
    <row r="16"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</row>
    <row r="17"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</row>
    <row r="18"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</row>
    <row r="19"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</row>
    <row r="20"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</row>
    <row r="21"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</row>
    <row r="22"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</row>
    <row r="23"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</row>
    <row r="24"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</row>
    <row r="25"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</row>
    <row r="26"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</row>
    <row r="27"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</row>
    <row r="28"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</row>
    <row r="29"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</row>
    <row r="30"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</row>
    <row r="31"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</row>
    <row r="32"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</row>
    <row r="33"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</row>
    <row r="34"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</row>
    <row r="35"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</row>
    <row r="36"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</row>
    <row r="37"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</row>
    <row r="38"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</row>
    <row r="39"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</row>
    <row r="40"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</row>
    <row r="41"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</row>
    <row r="42"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</row>
    <row r="43"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</row>
    <row r="44"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</row>
    <row r="45"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</row>
    <row r="46"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</row>
    <row r="47"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</row>
    <row r="48"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</row>
    <row r="49"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</row>
    <row r="50"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</row>
    <row r="51"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</row>
    <row r="52"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</row>
    <row r="53"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</row>
    <row r="54"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</row>
  </sheetData>
  <mergeCells count="2">
    <mergeCell ref="B1:O1"/>
    <mergeCell ref="B2:O2"/>
  </mergeCells>
  <conditionalFormatting sqref="L4:L55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K4:K55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B1:B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1">
      <c r="B1" s="51" t="inlineStr">
        <is>
          <t>Reference Guide — Formulas, Definitions &amp; How to Use</t>
        </is>
      </c>
    </row>
    <row r="3">
      <c r="B3" s="52" t="inlineStr"/>
    </row>
    <row r="4">
      <c r="B4" s="53" t="inlineStr">
        <is>
          <t>How to Use This Workbook</t>
        </is>
      </c>
    </row>
    <row r="5">
      <c r="B5" s="52" t="inlineStr">
        <is>
          <t>1. Enter specifications (Tₘ, LSL, USL) in the Analysis sheet (blue cells)</t>
        </is>
      </c>
    </row>
    <row r="6">
      <c r="B6" s="52" t="inlineStr">
        <is>
          <t>2. Choose Mode: 'Enter Manually' or 'Use Data Worksheet' (dropdown in C10)</t>
        </is>
      </c>
    </row>
    <row r="7">
      <c r="B7" s="52" t="inlineStr">
        <is>
          <t>3. If Manual: enter x̄, σ, n directly in the Analysis sheet</t>
        </is>
      </c>
    </row>
    <row r="8">
      <c r="B8" s="52" t="inlineStr">
        <is>
          <t>4. If Worksheet: enter part data in the Data sheet — mean &amp; σ auto-link</t>
        </is>
      </c>
    </row>
    <row r="9">
      <c r="B9" s="52" t="inlineStr">
        <is>
          <t>5. All results, probability, hypothesis test, and verdict update INSTANTLY</t>
        </is>
      </c>
    </row>
    <row r="10">
      <c r="B10" s="52" t="inlineStr">
        <is>
          <t>6. View charts in the Charts sheet (bell curve + capability bars)</t>
        </is>
      </c>
    </row>
    <row r="11">
      <c r="B11" s="52" t="inlineStr">
        <is>
          <t>7. To save a run: go to History sheet, copy Row 4, paste as VALUES into Row 5+</t>
        </is>
      </c>
    </row>
    <row r="12">
      <c r="B12" s="52" t="inlineStr"/>
    </row>
    <row r="13">
      <c r="B13" s="53" t="inlineStr">
        <is>
          <t>Core Capability Formulas</t>
        </is>
      </c>
    </row>
    <row r="14">
      <c r="B14" s="52" t="inlineStr">
        <is>
          <t xml:space="preserve">  Cp = (USL − LSL) / 6σ  — Potential capability if process is perfectly centered</t>
        </is>
      </c>
    </row>
    <row r="15">
      <c r="B15" s="52" t="inlineStr">
        <is>
          <t xml:space="preserve">  Cpk = min[(USL − x̄) / 3σ,  (x̄ − LSL) / 3σ]  — Actual capability with centering error</t>
        </is>
      </c>
    </row>
    <row r="16">
      <c r="B16" s="52" t="inlineStr">
        <is>
          <t xml:space="preserve">  Required Shift (Δ) = Tₘ − x̄  — How far to adjust the process mean</t>
        </is>
      </c>
    </row>
    <row r="17">
      <c r="B17" s="52" t="inlineStr">
        <is>
          <t xml:space="preserve">  Required Tolerance = Target Index × 6σ  — Minimum tolerance band needed</t>
        </is>
      </c>
    </row>
    <row r="18">
      <c r="B18" s="52" t="inlineStr"/>
    </row>
    <row r="19">
      <c r="B19" s="53" t="inlineStr">
        <is>
          <t>Capability Index Interpretation (Automotive Standards)</t>
        </is>
      </c>
    </row>
    <row r="20">
      <c r="B20" s="52" t="inlineStr">
        <is>
          <t xml:space="preserve">  Cpk ≥ 1.67  →  ✅ GOOD — Capable (standard automotive target)</t>
        </is>
      </c>
    </row>
    <row r="21">
      <c r="B21" s="52" t="inlineStr">
        <is>
          <t xml:space="preserve">  1.33 ≤ Cpk &lt; 1.67  →  ⚠ ACCEPTABLE — Meets minimum but below target</t>
        </is>
      </c>
    </row>
    <row r="22">
      <c r="B22" s="52" t="inlineStr">
        <is>
          <t xml:space="preserve">  1.00 ≤ Cpk &lt; 1.33  →  ⚠ MARGINAL — High risk, improvement needed</t>
        </is>
      </c>
    </row>
    <row r="23">
      <c r="B23" s="52" t="inlineStr">
        <is>
          <t xml:space="preserve">  Cpk &lt; 1.00  →  ❌ NOT CAPABLE — Produces significant defects</t>
        </is>
      </c>
    </row>
    <row r="24">
      <c r="B24" s="52" t="inlineStr"/>
    </row>
    <row r="25">
      <c r="B25" s="53" t="inlineStr">
        <is>
          <t>Probability &amp; PPM</t>
        </is>
      </c>
    </row>
    <row r="26">
      <c r="B26" s="52" t="inlineStr">
        <is>
          <t xml:space="preserve">  P(x &gt; USL) — Probability a part exceeds upper spec limit</t>
        </is>
      </c>
    </row>
    <row r="27">
      <c r="B27" s="52" t="inlineStr">
        <is>
          <t xml:space="preserve">  P(x &lt; LSL) — Probability a part falls below lower spec limit</t>
        </is>
      </c>
    </row>
    <row r="28">
      <c r="B28" s="52" t="inlineStr">
        <is>
          <t xml:space="preserve">  PPM = Probability × 1,000,000 — Parts Per Million defective</t>
        </is>
      </c>
    </row>
    <row r="29">
      <c r="B29" s="52" t="inlineStr"/>
    </row>
    <row r="30">
      <c r="B30" s="53" t="inlineStr">
        <is>
          <t>Hypothesis Testing</t>
        </is>
      </c>
    </row>
    <row r="31">
      <c r="B31" s="52" t="inlineStr">
        <is>
          <t xml:space="preserve">  H₀: μ = Tₘ (process is on target)</t>
        </is>
      </c>
    </row>
    <row r="32">
      <c r="B32" s="52" t="inlineStr">
        <is>
          <t xml:space="preserve">  Z = (x̄ − Tₘ) / (σ / √n)</t>
        </is>
      </c>
    </row>
    <row r="33">
      <c r="B33" s="52" t="inlineStr">
        <is>
          <t xml:space="preserve">  p-value &lt; α → Reject H₀ → Significant shift detected</t>
        </is>
      </c>
    </row>
    <row r="34">
      <c r="B34" s="52" t="inlineStr">
        <is>
          <t xml:space="preserve">  p-value ≥ α → Fail to Reject H₀ → No significant shift</t>
        </is>
      </c>
    </row>
    <row r="35">
      <c r="B35" s="52" t="inlineStr">
        <is>
          <t xml:space="preserve">  Two-Sided: tests if mean differs in either direction</t>
        </is>
      </c>
    </row>
    <row r="36">
      <c r="B36" s="52" t="inlineStr">
        <is>
          <t xml:space="preserve">  Upper-Sided: tests if mean is significantly above target</t>
        </is>
      </c>
    </row>
    <row r="37">
      <c r="B37" s="52" t="inlineStr">
        <is>
          <t xml:space="preserve">  Lower-Sided: tests if mean is significantly below target</t>
        </is>
      </c>
    </row>
    <row r="38">
      <c r="B38" s="52" t="inlineStr"/>
    </row>
    <row r="39">
      <c r="B39" s="53" t="inlineStr">
        <is>
          <t>Robustness Assessment</t>
        </is>
      </c>
    </row>
    <row r="40">
      <c r="B40" s="52" t="inlineStr">
        <is>
          <t xml:space="preserve">  ROBUST: ±4σ spread contained within specification limits</t>
        </is>
      </c>
    </row>
    <row r="41">
      <c r="B41" s="52" t="inlineStr">
        <is>
          <t xml:space="preserve">  MARGINAL: ±3σ contained but ±4σ is NOT — low tolerance for future shifts</t>
        </is>
      </c>
    </row>
    <row r="42">
      <c r="B42" s="52" t="inlineStr">
        <is>
          <t xml:space="preserve">  NOT ROBUST: ±3σ breaches specification limits</t>
        </is>
      </c>
    </row>
    <row r="43">
      <c r="B43" s="52" t="inlineStr"/>
    </row>
    <row r="44">
      <c r="B44" s="53" t="inlineStr">
        <is>
          <t>Spread Metrics</t>
        </is>
      </c>
    </row>
    <row r="45">
      <c r="B45" s="52" t="inlineStr">
        <is>
          <t xml:space="preserve">  6σ Spread — Contains ~99.73% of process output (±3σ)</t>
        </is>
      </c>
    </row>
    <row r="46">
      <c r="B46" s="52" t="inlineStr">
        <is>
          <t xml:space="preserve">  8σ Spread — Contains ~99.9937% of process output (±4σ)</t>
        </is>
      </c>
    </row>
    <row r="47">
      <c r="B47" s="52" t="inlineStr"/>
    </row>
    <row r="48">
      <c r="B48" s="53" t="inlineStr">
        <is>
          <t>Color Coding</t>
        </is>
      </c>
    </row>
    <row r="49">
      <c r="B49" s="52" t="inlineStr">
        <is>
          <t xml:space="preserve">  🟢 Green cells = Good / Capable / Within target</t>
        </is>
      </c>
    </row>
    <row r="50">
      <c r="B50" s="52" t="inlineStr">
        <is>
          <t xml:space="preserve">  🟡 Yellow cells = Warning / Marginal</t>
        </is>
      </c>
    </row>
    <row r="51">
      <c r="B51" s="52" t="inlineStr">
        <is>
          <t xml:space="preserve">  🔴 Red cells = Bad / Action Required / Not capable</t>
        </is>
      </c>
    </row>
    <row r="52">
      <c r="B52" s="52" t="inlineStr">
        <is>
          <t xml:space="preserve">  🔵 Blue cells = Input cells (enter your data here)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2026-03-17T13:54:37Z</dcterms:created>
  <dcterms:modified xsi:type="dcterms:W3CDTF">2026-03-17T13:54:37Z</dcterms:modified>
</cp:coreProperties>
</file>