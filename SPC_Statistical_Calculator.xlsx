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" sheetId="1" state="visible" r:id="rId1"/>
    <sheet name="Data" sheetId="2" state="visible" r:id="rId2"/>
    <sheet name="Charts" sheetId="3" state="visible" r:id="rId3"/>
    <sheet name="History" sheetId="4" state="visible" r:id="rId4"/>
    <sheet name="Reference" sheetId="5" state="visible" r:id="rId5"/>
  </sheets>
  <definedNames>
    <definedName name="_xlnm.Print_Area" localSheetId="0">'Analysis'!$A$1:$I$27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0000"/>
    <numFmt numFmtId="166" formatCode="0.0"/>
    <numFmt numFmtId="167" formatCode="0.0000%"/>
    <numFmt numFmtId="168" formatCode="#,##0.0"/>
    <numFmt numFmtId="169" formatCode="0.0000"/>
    <numFmt numFmtId="170" formatCode="YYYY-MM-DD"/>
  </numFmts>
  <fonts count="13">
    <font>
      <name val="Calibri"/>
      <family val="2"/>
      <color theme="1"/>
      <sz val="11"/>
      <scheme val="minor"/>
    </font>
    <font>
      <name val="Calibri"/>
      <b val="1"/>
      <color rgb="001E3A8A"/>
      <sz val="16"/>
    </font>
    <font>
      <name val="Calibri"/>
      <i val="1"/>
      <color rgb="006B7280"/>
      <sz val="10"/>
    </font>
    <font>
      <name val="Calibri"/>
      <b val="1"/>
      <color rgb="00FFFFFF"/>
      <sz val="12"/>
    </font>
    <font>
      <name val="Calibri"/>
      <b val="1"/>
      <color rgb="001E3A8A"/>
      <sz val="10"/>
    </font>
    <font>
      <name val="Calibri"/>
      <sz val="11"/>
    </font>
    <font>
      <name val="Calibri"/>
      <i val="1"/>
      <color rgb="006B7280"/>
      <sz val="9"/>
    </font>
    <font>
      <name val="Calibri"/>
      <b val="1"/>
      <sz val="12"/>
    </font>
    <font>
      <color rgb="006B7280"/>
      <sz val="9"/>
    </font>
    <font>
      <name val="Calibri"/>
      <i val="1"/>
      <color rgb="00F97316"/>
      <sz val="9"/>
    </font>
    <font>
      <name val="Calibri"/>
      <b val="1"/>
      <color rgb="001E3A8A"/>
      <sz val="11"/>
    </font>
    <font>
      <name val="Calibri"/>
      <b val="1"/>
      <color rgb="001E3A8A"/>
      <sz val="12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BEAFE"/>
        <bgColor rgb="00DBEAFE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167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8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0" fillId="6" borderId="1" pivotButton="0" quotePrefix="0" xfId="0"/>
    <xf numFmtId="164" fontId="0" fillId="6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  <xf numFmtId="0" fontId="4" fillId="0" borderId="0" pivotButton="0" quotePrefix="0" xfId="0"/>
    <xf numFmtId="17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1" fillId="7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047857"/>
      </font>
      <fill>
        <patternFill patternType="solid">
          <fgColor rgb="00D1FAE5"/>
          <bgColor rgb="00D1FAE5"/>
        </patternFill>
      </fill>
    </dxf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991B1B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Process Distribution (Normal Curve)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'Charts'!D4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'Charts'!$C$4:$C$21</f>
            </numRef>
          </cat>
          <val>
            <numRef>
              <f>'Charts'!$D$5:$D$21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Measurement 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Capability Index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'Charts'!O3</f>
            </strRef>
          </tx>
          <spPr>
            <a:ln>
              <a:prstDash val="solid"/>
            </a:ln>
          </spPr>
          <cat>
            <numRef>
              <f>'Charts'!$N$4:$N$5</f>
            </numRef>
          </cat>
          <val>
            <numRef>
              <f>'Charts'!$O$4:$O$5</f>
            </numRef>
          </val>
        </ser>
        <ser>
          <idx val="1"/>
          <order val="1"/>
          <tx>
            <strRef>
              <f>'Charts'!P3</f>
            </strRef>
          </tx>
          <spPr>
            <a:ln>
              <a:prstDash val="solid"/>
            </a:ln>
          </spPr>
          <cat>
            <numRef>
              <f>'Charts'!$N$4:$N$5</f>
            </numRef>
          </cat>
          <val>
            <numRef>
              <f>'Charts'!$P$4:$P$5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B1:I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4" customWidth="1" min="4" max="4"/>
    <col width="28" customWidth="1" min="5" max="5"/>
    <col width="16" customWidth="1" min="6" max="6"/>
    <col width="4" customWidth="1" min="7" max="7"/>
    <col width="28" customWidth="1" min="8" max="8"/>
    <col width="16" customWidth="1" min="9" max="9"/>
  </cols>
  <sheetData>
    <row r="1">
      <c r="B1" s="1" t="inlineStr">
        <is>
          <t>Statistical Process Capability &amp; Optimization Tool</t>
        </is>
      </c>
    </row>
    <row r="2">
      <c r="B2" s="2" t="inlineStr">
        <is>
          <t>Automotive Dimensional Capability Analysis — Single Characteristic</t>
        </is>
      </c>
    </row>
    <row r="4">
      <c r="B4" s="3" t="inlineStr">
        <is>
          <t>I. SPECIFICATIONS</t>
        </is>
      </c>
      <c r="C4" s="3" t="inlineStr">
        <is>
          <t>Value</t>
        </is>
      </c>
      <c r="E4" s="3" t="inlineStr">
        <is>
          <t>III. CALCULATED RESULTS</t>
        </is>
      </c>
      <c r="F4" s="3" t="inlineStr">
        <is>
          <t>Value</t>
        </is>
      </c>
    </row>
    <row r="5">
      <c r="B5" s="4" t="inlineStr">
        <is>
          <t>Measurement Name</t>
        </is>
      </c>
      <c r="C5" s="5" t="inlineStr">
        <is>
          <t>Diameter A</t>
        </is>
      </c>
      <c r="E5" s="4" t="inlineStr">
        <is>
          <t>Tolerance (T = USL − LSL)</t>
        </is>
      </c>
      <c r="F5" s="6">
        <f>C8-C7</f>
        <v/>
      </c>
    </row>
    <row r="6">
      <c r="B6" s="4" t="inlineStr">
        <is>
          <t>Target Mean (Tₘ)</t>
        </is>
      </c>
      <c r="C6" s="7" t="n">
        <v>10</v>
      </c>
      <c r="E6" s="4" t="inlineStr">
        <is>
          <t>6σ Spread</t>
        </is>
      </c>
      <c r="F6" s="6">
        <f>6*C12</f>
        <v/>
      </c>
    </row>
    <row r="7">
      <c r="B7" s="4" t="inlineStr">
        <is>
          <t>Lower Spec Limit (LSL)</t>
        </is>
      </c>
      <c r="C7" s="7" t="n">
        <v>9.9</v>
      </c>
      <c r="E7" s="4" t="inlineStr">
        <is>
          <t>8σ Spread</t>
        </is>
      </c>
      <c r="F7" s="6">
        <f>8*C12</f>
        <v/>
      </c>
    </row>
    <row r="8">
      <c r="B8" s="4" t="inlineStr">
        <is>
          <t>Upper Spec Limit (USL)</t>
        </is>
      </c>
      <c r="C8" s="7" t="n">
        <v>10.1</v>
      </c>
      <c r="E8" s="4" t="inlineStr">
        <is>
          <t>Cp (Potential Capability)</t>
        </is>
      </c>
      <c r="F8" s="6">
        <f>IF(C12=0,"∞",(C8-C7)/(6*C12))</f>
        <v/>
      </c>
    </row>
    <row r="9">
      <c r="E9" s="4" t="inlineStr">
        <is>
          <t>Cpk (Actual Capability)</t>
        </is>
      </c>
      <c r="F9" s="6">
        <f>IF(C12=0,"∞",MIN((C8-C11)/(3*C12),(C11-C7)/(3*C12)))</f>
        <v/>
      </c>
    </row>
    <row r="10">
      <c r="B10" s="3" t="inlineStr">
        <is>
          <t>II. PROCESS DATA</t>
        </is>
      </c>
      <c r="C10" s="3" t="inlineStr">
        <is>
          <t>Value</t>
        </is>
      </c>
      <c r="E10" s="4" t="inlineStr">
        <is>
          <t>Required Shift (Δ = Tₘ − x̄)</t>
        </is>
      </c>
      <c r="F10" s="6">
        <f>C6-C11</f>
        <v/>
      </c>
    </row>
    <row r="11">
      <c r="B11" s="4" t="inlineStr">
        <is>
          <t>Measured Mean (x̄)</t>
        </is>
      </c>
      <c r="C11" s="7" t="n">
        <v>10</v>
      </c>
      <c r="E11" s="4" t="inlineStr">
        <is>
          <t>Shift Direction</t>
        </is>
      </c>
      <c r="F11" s="8">
        <f>IF(C6-C11=0,"Centered",IF(C6-C11&gt;0,"Shift UP (+)","Shift DOWN (−)"))</f>
        <v/>
      </c>
    </row>
    <row r="12">
      <c r="B12" s="4" t="inlineStr">
        <is>
          <t>Standard Deviation (σ)</t>
        </is>
      </c>
      <c r="C12" s="9" t="n">
        <v>0.015</v>
      </c>
      <c r="E12" s="4" t="inlineStr">
        <is>
          <t>Required Tolerance (for target index)</t>
        </is>
      </c>
      <c r="F12" s="6">
        <f>IF(C12=0,0,C14*6*C12)</f>
        <v/>
      </c>
    </row>
    <row r="13">
      <c r="B13" s="4" t="inlineStr">
        <is>
          <t>Sample Size (n)</t>
        </is>
      </c>
      <c r="C13" s="10" t="n">
        <v>30</v>
      </c>
      <c r="E13" s="4" t="inlineStr">
        <is>
          <t>x̄ − 3σ</t>
        </is>
      </c>
      <c r="F13" s="6">
        <f>C11-3*C12</f>
        <v/>
      </c>
    </row>
    <row r="14">
      <c r="B14" s="4" t="inlineStr">
        <is>
          <t>Target Capability Index</t>
        </is>
      </c>
      <c r="C14" s="11" t="n">
        <v>1.67</v>
      </c>
      <c r="E14" s="4" t="inlineStr">
        <is>
          <t>x̄ + 3σ</t>
        </is>
      </c>
      <c r="F14" s="6">
        <f>C11+3*C12</f>
        <v/>
      </c>
    </row>
    <row r="15">
      <c r="B15" s="4" t="inlineStr">
        <is>
          <t>Confidence Level (%)</t>
        </is>
      </c>
      <c r="C15" s="12" t="n">
        <v>95</v>
      </c>
      <c r="E15" s="4" t="inlineStr">
        <is>
          <t>x̄ − 4σ</t>
        </is>
      </c>
      <c r="F15" s="6">
        <f>C11-4*C12</f>
        <v/>
      </c>
    </row>
    <row r="16">
      <c r="B16" s="13" t="inlineStr">
        <is>
          <t>💡 Or use the 'Data' sheet to enter part-by-part values. Mean &amp; σ auto-calculate there.</t>
        </is>
      </c>
      <c r="E16" s="4" t="inlineStr">
        <is>
          <t>x̄ + 4σ</t>
        </is>
      </c>
      <c r="F16" s="6">
        <f>C11+4*C12</f>
        <v/>
      </c>
    </row>
    <row r="18">
      <c r="E18" s="3" t="inlineStr">
        <is>
          <t>IV. PROBABILITY &amp; DEFECTS</t>
        </is>
      </c>
      <c r="F18" s="3" t="inlineStr">
        <is>
          <t>Value</t>
        </is>
      </c>
      <c r="H18" s="3" t="inlineStr">
        <is>
          <t>V. HYPOTHESIS TEST (μ vs Tₘ)</t>
        </is>
      </c>
      <c r="I18" s="3" t="inlineStr">
        <is>
          <t>Value</t>
        </is>
      </c>
    </row>
    <row r="19">
      <c r="E19" s="4" t="inlineStr">
        <is>
          <t>P(x &gt; USL)</t>
        </is>
      </c>
      <c r="F19" s="14">
        <f>IF(C12=0,IF(C11&gt;C8,1,0),1-NORM.DIST(C8,C11,C12,TRUE))</f>
        <v/>
      </c>
      <c r="H19" s="4" t="inlineStr">
        <is>
          <t>Standard Error (SE)</t>
        </is>
      </c>
      <c r="I19" s="15">
        <f>IF(C12=0,0,C12/SQRT(C13))</f>
        <v/>
      </c>
    </row>
    <row r="20">
      <c r="E20" s="4" t="inlineStr">
        <is>
          <t>P(x &lt; LSL)</t>
        </is>
      </c>
      <c r="F20" s="14">
        <f>IF(C12=0,IF(C11&lt;C7,1,0),NORM.DIST(C7,C11,C12,TRUE))</f>
        <v/>
      </c>
      <c r="H20" s="4" t="inlineStr">
        <is>
          <t>Z-statistic</t>
        </is>
      </c>
      <c r="I20" s="6">
        <f>IF(I19=0,IF(C11=C6,0,999),(C11-C6)/I19)</f>
        <v/>
      </c>
    </row>
    <row r="21">
      <c r="E21" s="4" t="inlineStr">
        <is>
          <t>P(x &lt; Tₘ)</t>
        </is>
      </c>
      <c r="F21" s="16">
        <f>IF(C12=0,IF(C11&lt;C6,1,0),NORM.DIST(C6,C11,C12,TRUE))</f>
        <v/>
      </c>
      <c r="H21" s="4" t="inlineStr">
        <is>
          <t>p-value (Two-Sided)</t>
        </is>
      </c>
      <c r="I21" s="17">
        <f>2*(1-NORM.S.DIST(ABS(I20),TRUE))</f>
        <v/>
      </c>
    </row>
    <row r="22">
      <c r="E22" s="4" t="inlineStr">
        <is>
          <t>PPM Above USL</t>
        </is>
      </c>
      <c r="F22" s="18">
        <f>F19*1000000</f>
        <v/>
      </c>
      <c r="H22" s="4" t="inlineStr">
        <is>
          <t>Alpha (α)</t>
        </is>
      </c>
      <c r="I22" s="19">
        <f>1-C15/100</f>
        <v/>
      </c>
    </row>
    <row r="23">
      <c r="E23" s="4" t="inlineStr">
        <is>
          <t>PPM Below LSL</t>
        </is>
      </c>
      <c r="F23" s="18">
        <f>F20*1000000</f>
        <v/>
      </c>
      <c r="H23" s="4" t="inlineStr">
        <is>
          <t>Decision</t>
        </is>
      </c>
      <c r="I23" s="8">
        <f>IF(I21&lt;I22,"Reject H₀ — Mean has shifted","Fail to Reject H₀ — No significant shift")</f>
        <v/>
      </c>
    </row>
    <row r="24">
      <c r="E24" s="4" t="inlineStr">
        <is>
          <t>Total PPM (Defect Rate)</t>
        </is>
      </c>
      <c r="F24" s="20">
        <f>F22+F23</f>
        <v/>
      </c>
      <c r="H24" s="4" t="inlineStr">
        <is>
          <t>CI Lower Bound</t>
        </is>
      </c>
      <c r="I24" s="17">
        <f>C11-NORM.S.INV(1-I22/2)*I19</f>
        <v/>
      </c>
    </row>
    <row r="25">
      <c r="H25" s="4" t="inlineStr">
        <is>
          <t>CI Upper Bound</t>
        </is>
      </c>
      <c r="I25" s="17">
        <f>C11+NORM.S.INV(1-I22/2)*I19</f>
        <v/>
      </c>
    </row>
    <row r="26">
      <c r="B26" s="3" t="inlineStr"/>
      <c r="E26" s="3" t="inlineStr">
        <is>
          <t>VI. OVERALL VERDICT</t>
        </is>
      </c>
      <c r="F26" s="3" t="inlineStr"/>
    </row>
    <row r="27">
      <c r="E27" s="21">
        <f>IF(F9="∞","✅ GOOD — Perfect capability (σ=0)",IF(F9&gt;=C14,"✅ GOOD — Process is capable",IF(F9&gt;=1,"⚠️ MARGINAL — Acceptable but below target","❌ ACTION REQUIRED — Process not capable")))</f>
        <v/>
      </c>
    </row>
  </sheetData>
  <mergeCells count="5">
    <mergeCell ref="B16:C16"/>
    <mergeCell ref="B2:I2"/>
    <mergeCell ref="E27:I27"/>
    <mergeCell ref="B26:C26"/>
    <mergeCell ref="B1:I1"/>
  </mergeCells>
  <conditionalFormatting sqref="F9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F8">
    <cfRule type="cellIs" priority="4" operator="greaterThanOrEqual" dxfId="0">
      <formula>1.67</formula>
    </cfRule>
    <cfRule type="cellIs" priority="5" operator="lessThan" dxfId="2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B981"/>
    <outlinePr summaryBelow="1" summaryRight="1"/>
    <pageSetUpPr/>
  </sheetPr>
  <dimension ref="B1:G5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4" customWidth="1" min="3" max="3"/>
    <col width="18" customWidth="1" min="4" max="4"/>
    <col width="4" customWidth="1" min="5" max="5"/>
    <col width="24" customWidth="1" min="6" max="6"/>
    <col width="18" customWidth="1" min="7" max="7"/>
  </cols>
  <sheetData>
    <row r="1">
      <c r="B1" s="22" t="inlineStr">
        <is>
          <t>Data Worksheet — Part-by-Part Entry</t>
        </is>
      </c>
    </row>
    <row r="2">
      <c r="B2" s="23" t="inlineStr">
        <is>
          <t>Enter DMC/Serial Number and measured Value for each part below. Statistics auto-calculate on the right.</t>
        </is>
      </c>
    </row>
    <row r="4">
      <c r="B4" s="3" t="inlineStr">
        <is>
          <t>#</t>
        </is>
      </c>
      <c r="C4" s="3" t="inlineStr">
        <is>
          <t>DMC / Serial Number</t>
        </is>
      </c>
      <c r="D4" s="3" t="inlineStr">
        <is>
          <t>Value</t>
        </is>
      </c>
      <c r="F4" s="3" t="inlineStr">
        <is>
          <t>STATISTICS (Auto-Calculated)</t>
        </is>
      </c>
      <c r="G4" s="3" t="inlineStr">
        <is>
          <t>Value</t>
        </is>
      </c>
    </row>
    <row r="5">
      <c r="B5" s="24" t="n">
        <v>1</v>
      </c>
      <c r="C5" s="25" t="n"/>
      <c r="D5" s="26" t="n"/>
      <c r="F5" s="4" t="inlineStr">
        <is>
          <t>Count (n)</t>
        </is>
      </c>
      <c r="G5" s="27">
        <f>COUNTA(D5:D54)</f>
        <v/>
      </c>
    </row>
    <row r="6">
      <c r="B6" s="24" t="n">
        <v>2</v>
      </c>
      <c r="C6" s="28" t="n"/>
      <c r="D6" s="29" t="n"/>
      <c r="F6" s="4" t="inlineStr">
        <is>
          <t>Mean (x̄)</t>
        </is>
      </c>
      <c r="G6" s="15">
        <f>IF(G5&gt;=2,AVERAGE(D5:D54),"")</f>
        <v/>
      </c>
    </row>
    <row r="7">
      <c r="B7" s="24" t="n">
        <v>3</v>
      </c>
      <c r="C7" s="25" t="n"/>
      <c r="D7" s="26" t="n"/>
      <c r="F7" s="4" t="inlineStr">
        <is>
          <t>Std Dev (σ)</t>
        </is>
      </c>
      <c r="G7" s="15">
        <f>IF(G5&gt;=2,STDEV.S(D5:D54),"")</f>
        <v/>
      </c>
    </row>
    <row r="8">
      <c r="B8" s="24" t="n">
        <v>4</v>
      </c>
      <c r="C8" s="28" t="n"/>
      <c r="D8" s="29" t="n"/>
      <c r="F8" s="4" t="inlineStr">
        <is>
          <t>Min</t>
        </is>
      </c>
      <c r="G8" s="6">
        <f>IF(G5&gt;=1,MIN(D5:D54),"")</f>
        <v/>
      </c>
    </row>
    <row r="9">
      <c r="B9" s="24" t="n">
        <v>5</v>
      </c>
      <c r="C9" s="25" t="n"/>
      <c r="D9" s="26" t="n"/>
      <c r="F9" s="4" t="inlineStr">
        <is>
          <t>Max</t>
        </is>
      </c>
      <c r="G9" s="6">
        <f>IF(G5&gt;=1,MAX(D5:D54),"")</f>
        <v/>
      </c>
    </row>
    <row r="10">
      <c r="B10" s="24" t="n">
        <v>6</v>
      </c>
      <c r="C10" s="28" t="n"/>
      <c r="D10" s="29" t="n"/>
      <c r="F10" s="4" t="inlineStr">
        <is>
          <t>Range</t>
        </is>
      </c>
      <c r="G10" s="6">
        <f>IF(G5&gt;=2,G9-G8,"")</f>
        <v/>
      </c>
    </row>
    <row r="11">
      <c r="B11" s="24" t="n">
        <v>7</v>
      </c>
      <c r="C11" s="25" t="n"/>
      <c r="D11" s="26" t="n"/>
      <c r="F11" s="4" t="inlineStr">
        <is>
          <t>Median</t>
        </is>
      </c>
      <c r="G11" s="6">
        <f>IF(G5&gt;=1,MEDIAN(D5:D54),"")</f>
        <v/>
      </c>
    </row>
    <row r="12">
      <c r="B12" s="24" t="n">
        <v>8</v>
      </c>
      <c r="C12" s="28" t="n"/>
      <c r="D12" s="29" t="n"/>
      <c r="F12" s="4" t="inlineStr">
        <is>
          <t>Q1 (25th %ile)</t>
        </is>
      </c>
      <c r="G12" s="6">
        <f>IF(G5&gt;=4,PERCENTILE(D5:D54,0.25),"")</f>
        <v/>
      </c>
    </row>
    <row r="13">
      <c r="B13" s="24" t="n">
        <v>9</v>
      </c>
      <c r="C13" s="25" t="n"/>
      <c r="D13" s="26" t="n"/>
      <c r="F13" s="4" t="inlineStr">
        <is>
          <t>Q3 (75th %ile)</t>
        </is>
      </c>
      <c r="G13" s="6">
        <f>IF(G5&gt;=4,PERCENTILE(D5:D54,0.75),"")</f>
        <v/>
      </c>
    </row>
    <row r="14">
      <c r="B14" s="24" t="n">
        <v>10</v>
      </c>
      <c r="C14" s="28" t="n"/>
      <c r="D14" s="29" t="n"/>
      <c r="F14" s="4" t="inlineStr">
        <is>
          <t>IQR</t>
        </is>
      </c>
      <c r="G14" s="6">
        <f>IF(G5&gt;=4,G13-G12,"")</f>
        <v/>
      </c>
    </row>
    <row r="15">
      <c r="B15" s="24" t="n">
        <v>11</v>
      </c>
      <c r="C15" s="25" t="n"/>
      <c r="D15" s="26" t="n"/>
    </row>
    <row r="16">
      <c r="B16" s="24" t="n">
        <v>12</v>
      </c>
      <c r="C16" s="28" t="n"/>
      <c r="D16" s="29" t="n"/>
      <c r="F16" s="30" t="inlineStr">
        <is>
          <t>💡 Copy G5→C13, G6→C11, G7→C12 in the Analysis sheet to use this data.</t>
        </is>
      </c>
    </row>
    <row r="17">
      <c r="B17" s="24" t="n">
        <v>13</v>
      </c>
      <c r="C17" s="25" t="n"/>
      <c r="D17" s="26" t="n"/>
    </row>
    <row r="18">
      <c r="B18" s="24" t="n">
        <v>14</v>
      </c>
      <c r="C18" s="28" t="n"/>
      <c r="D18" s="29" t="n"/>
    </row>
    <row r="19">
      <c r="B19" s="24" t="n">
        <v>15</v>
      </c>
      <c r="C19" s="25" t="n"/>
      <c r="D19" s="26" t="n"/>
    </row>
    <row r="20">
      <c r="B20" s="24" t="n">
        <v>16</v>
      </c>
      <c r="C20" s="28" t="n"/>
      <c r="D20" s="29" t="n"/>
    </row>
    <row r="21">
      <c r="B21" s="24" t="n">
        <v>17</v>
      </c>
      <c r="C21" s="25" t="n"/>
      <c r="D21" s="26" t="n"/>
    </row>
    <row r="22">
      <c r="B22" s="24" t="n">
        <v>18</v>
      </c>
      <c r="C22" s="28" t="n"/>
      <c r="D22" s="29" t="n"/>
    </row>
    <row r="23">
      <c r="B23" s="24" t="n">
        <v>19</v>
      </c>
      <c r="C23" s="25" t="n"/>
      <c r="D23" s="26" t="n"/>
    </row>
    <row r="24">
      <c r="B24" s="24" t="n">
        <v>20</v>
      </c>
      <c r="C24" s="28" t="n"/>
      <c r="D24" s="29" t="n"/>
    </row>
    <row r="25">
      <c r="B25" s="24" t="n">
        <v>21</v>
      </c>
      <c r="C25" s="25" t="n"/>
      <c r="D25" s="26" t="n"/>
    </row>
    <row r="26">
      <c r="B26" s="24" t="n">
        <v>22</v>
      </c>
      <c r="C26" s="28" t="n"/>
      <c r="D26" s="29" t="n"/>
    </row>
    <row r="27">
      <c r="B27" s="24" t="n">
        <v>23</v>
      </c>
      <c r="C27" s="25" t="n"/>
      <c r="D27" s="26" t="n"/>
    </row>
    <row r="28">
      <c r="B28" s="24" t="n">
        <v>24</v>
      </c>
      <c r="C28" s="28" t="n"/>
      <c r="D28" s="29" t="n"/>
    </row>
    <row r="29">
      <c r="B29" s="24" t="n">
        <v>25</v>
      </c>
      <c r="C29" s="25" t="n"/>
      <c r="D29" s="26" t="n"/>
    </row>
    <row r="30">
      <c r="B30" s="24" t="n">
        <v>26</v>
      </c>
      <c r="C30" s="28" t="n"/>
      <c r="D30" s="29" t="n"/>
    </row>
    <row r="31">
      <c r="B31" s="24" t="n">
        <v>27</v>
      </c>
      <c r="C31" s="25" t="n"/>
      <c r="D31" s="26" t="n"/>
    </row>
    <row r="32">
      <c r="B32" s="24" t="n">
        <v>28</v>
      </c>
      <c r="C32" s="28" t="n"/>
      <c r="D32" s="29" t="n"/>
    </row>
    <row r="33">
      <c r="B33" s="24" t="n">
        <v>29</v>
      </c>
      <c r="C33" s="25" t="n"/>
      <c r="D33" s="26" t="n"/>
    </row>
    <row r="34">
      <c r="B34" s="24" t="n">
        <v>30</v>
      </c>
      <c r="C34" s="28" t="n"/>
      <c r="D34" s="29" t="n"/>
    </row>
    <row r="35">
      <c r="B35" s="24" t="n">
        <v>31</v>
      </c>
      <c r="C35" s="25" t="n"/>
      <c r="D35" s="26" t="n"/>
    </row>
    <row r="36">
      <c r="B36" s="24" t="n">
        <v>32</v>
      </c>
      <c r="C36" s="28" t="n"/>
      <c r="D36" s="29" t="n"/>
    </row>
    <row r="37">
      <c r="B37" s="24" t="n">
        <v>33</v>
      </c>
      <c r="C37" s="25" t="n"/>
      <c r="D37" s="26" t="n"/>
    </row>
    <row r="38">
      <c r="B38" s="24" t="n">
        <v>34</v>
      </c>
      <c r="C38" s="28" t="n"/>
      <c r="D38" s="29" t="n"/>
    </row>
    <row r="39">
      <c r="B39" s="24" t="n">
        <v>35</v>
      </c>
      <c r="C39" s="25" t="n"/>
      <c r="D39" s="26" t="n"/>
    </row>
    <row r="40">
      <c r="B40" s="24" t="n">
        <v>36</v>
      </c>
      <c r="C40" s="28" t="n"/>
      <c r="D40" s="29" t="n"/>
    </row>
    <row r="41">
      <c r="B41" s="24" t="n">
        <v>37</v>
      </c>
      <c r="C41" s="25" t="n"/>
      <c r="D41" s="26" t="n"/>
    </row>
    <row r="42">
      <c r="B42" s="24" t="n">
        <v>38</v>
      </c>
      <c r="C42" s="28" t="n"/>
      <c r="D42" s="29" t="n"/>
    </row>
    <row r="43">
      <c r="B43" s="24" t="n">
        <v>39</v>
      </c>
      <c r="C43" s="25" t="n"/>
      <c r="D43" s="26" t="n"/>
    </row>
    <row r="44">
      <c r="B44" s="24" t="n">
        <v>40</v>
      </c>
      <c r="C44" s="28" t="n"/>
      <c r="D44" s="29" t="n"/>
    </row>
    <row r="45">
      <c r="B45" s="24" t="n">
        <v>41</v>
      </c>
      <c r="C45" s="25" t="n"/>
      <c r="D45" s="26" t="n"/>
    </row>
    <row r="46">
      <c r="B46" s="24" t="n">
        <v>42</v>
      </c>
      <c r="C46" s="28" t="n"/>
      <c r="D46" s="29" t="n"/>
    </row>
    <row r="47">
      <c r="B47" s="24" t="n">
        <v>43</v>
      </c>
      <c r="C47" s="25" t="n"/>
      <c r="D47" s="26" t="n"/>
    </row>
    <row r="48">
      <c r="B48" s="24" t="n">
        <v>44</v>
      </c>
      <c r="C48" s="28" t="n"/>
      <c r="D48" s="29" t="n"/>
    </row>
    <row r="49">
      <c r="B49" s="24" t="n">
        <v>45</v>
      </c>
      <c r="C49" s="25" t="n"/>
      <c r="D49" s="26" t="n"/>
    </row>
    <row r="50">
      <c r="B50" s="24" t="n">
        <v>46</v>
      </c>
      <c r="C50" s="28" t="n"/>
      <c r="D50" s="29" t="n"/>
    </row>
    <row r="51">
      <c r="B51" s="24" t="n">
        <v>47</v>
      </c>
      <c r="C51" s="25" t="n"/>
      <c r="D51" s="26" t="n"/>
    </row>
    <row r="52">
      <c r="B52" s="24" t="n">
        <v>48</v>
      </c>
      <c r="C52" s="28" t="n"/>
      <c r="D52" s="29" t="n"/>
    </row>
    <row r="53">
      <c r="B53" s="24" t="n">
        <v>49</v>
      </c>
      <c r="C53" s="25" t="n"/>
      <c r="D53" s="26" t="n"/>
    </row>
    <row r="54">
      <c r="B54" s="24" t="n">
        <v>50</v>
      </c>
      <c r="C54" s="28" t="n"/>
      <c r="D54" s="29" t="n"/>
    </row>
  </sheetData>
  <mergeCells count="3">
    <mergeCell ref="B2:G2"/>
    <mergeCell ref="F16:G16"/>
    <mergeCell ref="B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B1:P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</cols>
  <sheetData>
    <row r="1">
      <c r="B1" s="22" t="inlineStr">
        <is>
          <t>Visualization — Capability Charts</t>
        </is>
      </c>
    </row>
    <row r="3">
      <c r="B3" s="31" t="inlineStr">
        <is>
          <t>Bell Curve Helper Data</t>
        </is>
      </c>
      <c r="N3" s="32" t="inlineStr">
        <is>
          <t>Metric</t>
        </is>
      </c>
      <c r="O3" s="32" t="inlineStr">
        <is>
          <t>Value</t>
        </is>
      </c>
      <c r="P3" s="32" t="inlineStr">
        <is>
          <t>Target</t>
        </is>
      </c>
    </row>
    <row r="4">
      <c r="B4" s="32" t="inlineStr">
        <is>
          <t>z</t>
        </is>
      </c>
      <c r="C4" s="32" t="inlineStr">
        <is>
          <t>x Value</t>
        </is>
      </c>
      <c r="D4" s="32" t="inlineStr">
        <is>
          <t>Density</t>
        </is>
      </c>
      <c r="N4" t="inlineStr">
        <is>
          <t>Cp</t>
        </is>
      </c>
      <c r="O4" s="33">
        <f>Analysis!F8</f>
        <v/>
      </c>
      <c r="P4" s="33">
        <f>Analysis!C14</f>
        <v/>
      </c>
    </row>
    <row r="5">
      <c r="B5" s="34" t="n">
        <v>-4</v>
      </c>
      <c r="C5" s="35">
        <f>Analysis!C11+B5*Analysis!C12</f>
        <v/>
      </c>
      <c r="D5" s="36">
        <f>IF(Analysis!C12&gt;0,(1/(Analysis!C12*SQRT(2*PI())))*EXP(-0.5*B5^2),0)</f>
        <v/>
      </c>
      <c r="N5" t="inlineStr">
        <is>
          <t>Cpk</t>
        </is>
      </c>
      <c r="O5" s="33">
        <f>Analysis!F9</f>
        <v/>
      </c>
      <c r="P5" s="33">
        <f>Analysis!C14</f>
        <v/>
      </c>
    </row>
    <row r="6">
      <c r="B6" s="34" t="n">
        <v>-3.5</v>
      </c>
      <c r="C6" s="35">
        <f>Analysis!C11+B6*Analysis!C12</f>
        <v/>
      </c>
      <c r="D6" s="36">
        <f>IF(Analysis!C12&gt;0,(1/(Analysis!C12*SQRT(2*PI())))*EXP(-0.5*B6^2),0)</f>
        <v/>
      </c>
    </row>
    <row r="7">
      <c r="B7" s="34" t="n">
        <v>-3</v>
      </c>
      <c r="C7" s="35">
        <f>Analysis!C11+B7*Analysis!C12</f>
        <v/>
      </c>
      <c r="D7" s="36">
        <f>IF(Analysis!C12&gt;0,(1/(Analysis!C12*SQRT(2*PI())))*EXP(-0.5*B7^2),0)</f>
        <v/>
      </c>
    </row>
    <row r="8">
      <c r="B8" s="34" t="n">
        <v>-2.5</v>
      </c>
      <c r="C8" s="35">
        <f>Analysis!C11+B8*Analysis!C12</f>
        <v/>
      </c>
      <c r="D8" s="36">
        <f>IF(Analysis!C12&gt;0,(1/(Analysis!C12*SQRT(2*PI())))*EXP(-0.5*B8^2),0)</f>
        <v/>
      </c>
    </row>
    <row r="9">
      <c r="B9" s="34" t="n">
        <v>-2</v>
      </c>
      <c r="C9" s="35">
        <f>Analysis!C11+B9*Analysis!C12</f>
        <v/>
      </c>
      <c r="D9" s="36">
        <f>IF(Analysis!C12&gt;0,(1/(Analysis!C12*SQRT(2*PI())))*EXP(-0.5*B9^2),0)</f>
        <v/>
      </c>
    </row>
    <row r="10">
      <c r="B10" s="34" t="n">
        <v>-1.5</v>
      </c>
      <c r="C10" s="35">
        <f>Analysis!C11+B10*Analysis!C12</f>
        <v/>
      </c>
      <c r="D10" s="36">
        <f>IF(Analysis!C12&gt;0,(1/(Analysis!C12*SQRT(2*PI())))*EXP(-0.5*B10^2),0)</f>
        <v/>
      </c>
    </row>
    <row r="11">
      <c r="B11" s="34" t="n">
        <v>-1</v>
      </c>
      <c r="C11" s="35">
        <f>Analysis!C11+B11*Analysis!C12</f>
        <v/>
      </c>
      <c r="D11" s="36">
        <f>IF(Analysis!C12&gt;0,(1/(Analysis!C12*SQRT(2*PI())))*EXP(-0.5*B11^2),0)</f>
        <v/>
      </c>
    </row>
    <row r="12">
      <c r="B12" s="34" t="n">
        <v>-0.5</v>
      </c>
      <c r="C12" s="35">
        <f>Analysis!C11+B12*Analysis!C12</f>
        <v/>
      </c>
      <c r="D12" s="36">
        <f>IF(Analysis!C12&gt;0,(1/(Analysis!C12*SQRT(2*PI())))*EXP(-0.5*B12^2),0)</f>
        <v/>
      </c>
    </row>
    <row r="13">
      <c r="B13" s="34" t="n">
        <v>0</v>
      </c>
      <c r="C13" s="35">
        <f>Analysis!C11+B13*Analysis!C12</f>
        <v/>
      </c>
      <c r="D13" s="36">
        <f>IF(Analysis!C12&gt;0,(1/(Analysis!C12*SQRT(2*PI())))*EXP(-0.5*B13^2),0)</f>
        <v/>
      </c>
    </row>
    <row r="14">
      <c r="B14" s="34" t="n">
        <v>0.5</v>
      </c>
      <c r="C14" s="35">
        <f>Analysis!C11+B14*Analysis!C12</f>
        <v/>
      </c>
      <c r="D14" s="36">
        <f>IF(Analysis!C12&gt;0,(1/(Analysis!C12*SQRT(2*PI())))*EXP(-0.5*B14^2),0)</f>
        <v/>
      </c>
    </row>
    <row r="15">
      <c r="B15" s="34" t="n">
        <v>1</v>
      </c>
      <c r="C15" s="35">
        <f>Analysis!C11+B15*Analysis!C12</f>
        <v/>
      </c>
      <c r="D15" s="36">
        <f>IF(Analysis!C12&gt;0,(1/(Analysis!C12*SQRT(2*PI())))*EXP(-0.5*B15^2),0)</f>
        <v/>
      </c>
    </row>
    <row r="16">
      <c r="B16" s="34" t="n">
        <v>1.5</v>
      </c>
      <c r="C16" s="35">
        <f>Analysis!C11+B16*Analysis!C12</f>
        <v/>
      </c>
      <c r="D16" s="36">
        <f>IF(Analysis!C12&gt;0,(1/(Analysis!C12*SQRT(2*PI())))*EXP(-0.5*B16^2),0)</f>
        <v/>
      </c>
    </row>
    <row r="17">
      <c r="B17" s="34" t="n">
        <v>2</v>
      </c>
      <c r="C17" s="35">
        <f>Analysis!C11+B17*Analysis!C12</f>
        <v/>
      </c>
      <c r="D17" s="36">
        <f>IF(Analysis!C12&gt;0,(1/(Analysis!C12*SQRT(2*PI())))*EXP(-0.5*B17^2),0)</f>
        <v/>
      </c>
    </row>
    <row r="18">
      <c r="B18" s="34" t="n">
        <v>2.5</v>
      </c>
      <c r="C18" s="35">
        <f>Analysis!C11+B18*Analysis!C12</f>
        <v/>
      </c>
      <c r="D18" s="36">
        <f>IF(Analysis!C12&gt;0,(1/(Analysis!C12*SQRT(2*PI())))*EXP(-0.5*B18^2),0)</f>
        <v/>
      </c>
    </row>
    <row r="19">
      <c r="B19" s="34" t="n">
        <v>3</v>
      </c>
      <c r="C19" s="35">
        <f>Analysis!C11+B19*Analysis!C12</f>
        <v/>
      </c>
      <c r="D19" s="36">
        <f>IF(Analysis!C12&gt;0,(1/(Analysis!C12*SQRT(2*PI())))*EXP(-0.5*B19^2),0)</f>
        <v/>
      </c>
    </row>
    <row r="20">
      <c r="B20" s="34" t="n">
        <v>3.5</v>
      </c>
      <c r="C20" s="35">
        <f>Analysis!C11+B20*Analysis!C12</f>
        <v/>
      </c>
      <c r="D20" s="36">
        <f>IF(Analysis!C12&gt;0,(1/(Analysis!C12*SQRT(2*PI())))*EXP(-0.5*B20^2),0)</f>
        <v/>
      </c>
    </row>
    <row r="21">
      <c r="B21" s="34" t="n">
        <v>4</v>
      </c>
      <c r="C21" s="35">
        <f>Analysis!C11+B21*Analysis!C12</f>
        <v/>
      </c>
      <c r="D21" s="36">
        <f>IF(Analysis!C12&gt;0,(1/(Analysis!C12*SQRT(2*PI())))*EXP(-0.5*B21^2),0)</f>
        <v/>
      </c>
    </row>
    <row r="23">
      <c r="B23" s="31" t="inlineStr">
        <is>
          <t>Specification Lines Reference</t>
        </is>
      </c>
    </row>
    <row r="24">
      <c r="B24" s="37" t="inlineStr">
        <is>
          <t>LSL</t>
        </is>
      </c>
      <c r="C24" s="35">
        <f>Analysis!C7</f>
        <v/>
      </c>
    </row>
    <row r="25">
      <c r="B25" s="37" t="inlineStr">
        <is>
          <t>USL</t>
        </is>
      </c>
      <c r="C25" s="35">
        <f>Analysis!C8</f>
        <v/>
      </c>
    </row>
    <row r="26">
      <c r="B26" s="37" t="inlineStr">
        <is>
          <t>Target (Tₘ)</t>
        </is>
      </c>
      <c r="C26" s="35">
        <f>Analysis!C6</f>
        <v/>
      </c>
    </row>
    <row r="27">
      <c r="B27" s="37" t="inlineStr">
        <is>
          <t>Mean (x̄)</t>
        </is>
      </c>
      <c r="C27" s="35">
        <f>Analysis!C11</f>
        <v/>
      </c>
    </row>
  </sheetData>
  <mergeCells count="1">
    <mergeCell ref="B1:K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B1:N5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8" customWidth="1" min="9" max="9"/>
    <col width="10" customWidth="1" min="10" max="10"/>
    <col width="10" customWidth="1" min="11" max="11"/>
    <col width="12" customWidth="1" min="12" max="12"/>
    <col width="12" customWidth="1" min="13" max="13"/>
    <col width="30" customWidth="1" min="14" max="14"/>
  </cols>
  <sheetData>
    <row r="1">
      <c r="B1" s="22" t="inlineStr">
        <is>
          <t>Analysis History Log</t>
        </is>
      </c>
    </row>
    <row r="2">
      <c r="B2" s="23" t="inlineStr">
        <is>
          <t>Record each analysis run below. Copy values from the Analysis sheet after each run.</t>
        </is>
      </c>
    </row>
    <row r="4">
      <c r="B4" s="3" t="inlineStr">
        <is>
          <t>Date</t>
        </is>
      </c>
      <c r="C4" s="3" t="inlineStr">
        <is>
          <t>Characteristic</t>
        </is>
      </c>
      <c r="D4" s="3" t="inlineStr">
        <is>
          <t>Tₘ</t>
        </is>
      </c>
      <c r="E4" s="3" t="inlineStr">
        <is>
          <t>LSL</t>
        </is>
      </c>
      <c r="F4" s="3" t="inlineStr">
        <is>
          <t>USL</t>
        </is>
      </c>
      <c r="G4" s="3" t="inlineStr">
        <is>
          <t>x̄</t>
        </is>
      </c>
      <c r="H4" s="3" t="inlineStr">
        <is>
          <t>σ</t>
        </is>
      </c>
      <c r="I4" s="3" t="inlineStr">
        <is>
          <t>n</t>
        </is>
      </c>
      <c r="J4" s="3" t="inlineStr">
        <is>
          <t>Cp</t>
        </is>
      </c>
      <c r="K4" s="3" t="inlineStr">
        <is>
          <t>Cpk</t>
        </is>
      </c>
      <c r="L4" s="3" t="inlineStr">
        <is>
          <t>PPM Total</t>
        </is>
      </c>
      <c r="M4" s="3" t="inlineStr">
        <is>
          <t>Shift (Δ)</t>
        </is>
      </c>
      <c r="N4" s="3" t="inlineStr">
        <is>
          <t>Verdict</t>
        </is>
      </c>
    </row>
    <row r="5">
      <c r="B5" s="38">
        <f>TODAY()</f>
        <v/>
      </c>
      <c r="C5" s="39">
        <f>Analysis!C5</f>
        <v/>
      </c>
      <c r="D5" s="40">
        <f>Analysis!C6</f>
        <v/>
      </c>
      <c r="E5" s="40">
        <f>Analysis!C7</f>
        <v/>
      </c>
      <c r="F5" s="40">
        <f>Analysis!C8</f>
        <v/>
      </c>
      <c r="G5" s="40">
        <f>Analysis!C11</f>
        <v/>
      </c>
      <c r="H5" s="41">
        <f>Analysis!C12</f>
        <v/>
      </c>
      <c r="I5" s="42">
        <f>Analysis!C13</f>
        <v/>
      </c>
      <c r="J5" s="40">
        <f>Analysis!F8</f>
        <v/>
      </c>
      <c r="K5" s="40">
        <f>Analysis!F9</f>
        <v/>
      </c>
      <c r="L5" s="43">
        <f>Analysis!F24</f>
        <v/>
      </c>
      <c r="M5" s="40">
        <f>Analysis!F10</f>
        <v/>
      </c>
      <c r="N5" s="39">
        <f>Analysis!E27</f>
        <v/>
      </c>
    </row>
    <row r="6"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</row>
    <row r="7"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</row>
    <row r="8"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</row>
    <row r="9"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</row>
    <row r="10"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</row>
    <row r="11"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</row>
    <row r="12"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</row>
    <row r="13"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</row>
    <row r="14"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</row>
    <row r="15"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</row>
    <row r="16"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</row>
    <row r="17"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</row>
    <row r="19"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</row>
    <row r="20"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</row>
    <row r="21"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</row>
    <row r="22"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</row>
    <row r="23"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</row>
    <row r="24"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</row>
    <row r="25"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</row>
    <row r="26"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</row>
    <row r="27"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</row>
    <row r="28"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</row>
    <row r="29"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</row>
    <row r="30"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</row>
    <row r="31"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</row>
    <row r="32"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</row>
    <row r="33"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</row>
    <row r="35"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</row>
    <row r="36"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</row>
    <row r="37"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</row>
    <row r="38"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</row>
    <row r="39"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</row>
    <row r="40"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</row>
    <row r="41"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</row>
    <row r="42"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</row>
    <row r="43"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</row>
    <row r="44"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</row>
    <row r="45"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</row>
    <row r="46"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</row>
    <row r="47"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</row>
    <row r="48"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</row>
    <row r="49"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</row>
    <row r="50"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</row>
    <row r="51"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</row>
    <row r="52"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</row>
    <row r="53"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</row>
    <row r="55"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</row>
  </sheetData>
  <mergeCells count="2">
    <mergeCell ref="B1:K1"/>
    <mergeCell ref="B2:K2"/>
  </mergeCells>
  <conditionalFormatting sqref="K5:K55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/>
  </sheetPr>
  <dimension ref="B1:B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0" customWidth="1" min="2" max="2"/>
  </cols>
  <sheetData>
    <row r="1">
      <c r="B1" s="44" t="inlineStr">
        <is>
          <t>Reference Guide — Formulas &amp; Definitions</t>
        </is>
      </c>
    </row>
    <row r="3">
      <c r="B3" s="45" t="inlineStr">
        <is>
          <t>Core Capability Formulas</t>
        </is>
      </c>
    </row>
    <row r="4">
      <c r="B4" s="46" t="inlineStr">
        <is>
          <t>• Cp = (USL − LSL) / 6σ  — Potential capability if process is perfectly centered</t>
        </is>
      </c>
    </row>
    <row r="5">
      <c r="B5" s="46" t="inlineStr">
        <is>
          <t>• Cpk = min[(USL − x̄) / 3σ,  (x̄ − LSL) / 3σ]  — Actual capability with centering error</t>
        </is>
      </c>
    </row>
    <row r="6">
      <c r="B6" s="46" t="inlineStr">
        <is>
          <t>• Required Shift (Δ) = Tₘ − x̄  — How far to adjust the process mean</t>
        </is>
      </c>
    </row>
    <row r="7">
      <c r="B7" s="46" t="inlineStr">
        <is>
          <t>• Required Tolerance = Target Index × 6σ  — Minimum tolerance band needed</t>
        </is>
      </c>
    </row>
    <row r="8">
      <c r="B8" s="46" t="inlineStr"/>
    </row>
    <row r="9">
      <c r="B9" s="45" t="inlineStr">
        <is>
          <t>Capability Index Interpretation</t>
        </is>
      </c>
    </row>
    <row r="10">
      <c r="B10" s="46" t="inlineStr">
        <is>
          <t>• Cpk ≥ 1.67  →  ✅ GOOD — Process is capable (automotive standard)</t>
        </is>
      </c>
    </row>
    <row r="11">
      <c r="B11" s="46" t="inlineStr">
        <is>
          <t>• 1.33 ≤ Cpk &lt; 1.67  →  ⚠️ ACCEPTABLE — Meets minimum but below target</t>
        </is>
      </c>
    </row>
    <row r="12">
      <c r="B12" s="46" t="inlineStr">
        <is>
          <t>• 1.00 ≤ Cpk &lt; 1.33  →  ⚠️ MARGINAL — High risk, improvement needed</t>
        </is>
      </c>
    </row>
    <row r="13">
      <c r="B13" s="46" t="inlineStr">
        <is>
          <t>• Cpk &lt; 1.00  →  ❌ NOT CAPABLE — Process produces significant defects</t>
        </is>
      </c>
    </row>
    <row r="14">
      <c r="B14" s="46" t="inlineStr"/>
    </row>
    <row r="15">
      <c r="B15" s="45" t="inlineStr">
        <is>
          <t>Probability &amp; PPM</t>
        </is>
      </c>
    </row>
    <row r="16">
      <c r="B16" s="46" t="inlineStr">
        <is>
          <t>• P(x &gt; USL) — Probability a part exceeds upper spec limit</t>
        </is>
      </c>
    </row>
    <row r="17">
      <c r="B17" s="46" t="inlineStr">
        <is>
          <t>• P(x &lt; LSL) — Probability a part falls below lower spec limit</t>
        </is>
      </c>
    </row>
    <row r="18">
      <c r="B18" s="46" t="inlineStr">
        <is>
          <t>• PPM = Probability × 1,000,000 — Parts Per Million defective</t>
        </is>
      </c>
    </row>
    <row r="19">
      <c r="B19" s="46" t="inlineStr"/>
    </row>
    <row r="20">
      <c r="B20" s="45" t="inlineStr">
        <is>
          <t>Hypothesis Testing</t>
        </is>
      </c>
    </row>
    <row r="21">
      <c r="B21" s="46" t="inlineStr">
        <is>
          <t>• H₀: μ = Tₘ (Null hypothesis — process is on target)</t>
        </is>
      </c>
    </row>
    <row r="22">
      <c r="B22" s="46" t="inlineStr">
        <is>
          <t>• Z = (x̄ − Tₘ) / (σ / √n) — Test statistic</t>
        </is>
      </c>
    </row>
    <row r="23">
      <c r="B23" s="46" t="inlineStr">
        <is>
          <t>• p-value &lt; α → Reject H₀ → Significant evidence mean has shifted</t>
        </is>
      </c>
    </row>
    <row r="24">
      <c r="B24" s="46" t="inlineStr">
        <is>
          <t>• p-value ≥ α → Fail to Reject H₀ → No significant shift detected</t>
        </is>
      </c>
    </row>
    <row r="25">
      <c r="B25" s="46" t="inlineStr"/>
    </row>
    <row r="26">
      <c r="B26" s="45" t="inlineStr">
        <is>
          <t>Spread Metrics</t>
        </is>
      </c>
    </row>
    <row r="27">
      <c r="B27" s="46" t="inlineStr">
        <is>
          <t>• 6σ Spread — Contains ~99.73% of process output (±3σ)</t>
        </is>
      </c>
    </row>
    <row r="28">
      <c r="B28" s="46" t="inlineStr">
        <is>
          <t>• 8σ Spread — Contains ~99.9937% of process output (±4σ)</t>
        </is>
      </c>
    </row>
    <row r="29">
      <c r="B29" s="46" t="inlineStr"/>
    </row>
    <row r="30">
      <c r="B30" s="45" t="inlineStr">
        <is>
          <t>How to Use This Workbook</t>
        </is>
      </c>
    </row>
    <row r="31">
      <c r="B31" s="46" t="inlineStr">
        <is>
          <t>1. Enter specifications (Tₘ, LSL, USL) in the Analysis sheet</t>
        </is>
      </c>
    </row>
    <row r="32">
      <c r="B32" s="46" t="inlineStr">
        <is>
          <t>2. Enter part data in the Data sheet OR enter x̄ and σ manually in Analysis</t>
        </is>
      </c>
    </row>
    <row r="33">
      <c r="B33" s="46" t="inlineStr">
        <is>
          <t>3. If using Data sheet, copy n→C13, x̄→C11, σ→C12 in the Analysis sheet</t>
        </is>
      </c>
    </row>
    <row r="34">
      <c r="B34" s="46" t="inlineStr">
        <is>
          <t>4. Read results in the Analysis sheet — Cp, Cpk, PPM, shift, verdict</t>
        </is>
      </c>
    </row>
    <row r="35">
      <c r="B35" s="46" t="inlineStr">
        <is>
          <t>5. View charts in the Charts sheet</t>
        </is>
      </c>
    </row>
    <row r="36">
      <c r="B36" s="46" t="inlineStr">
        <is>
          <t>6. Copy results to History sheet to track runs over time</t>
        </is>
      </c>
    </row>
  </sheetData>
  <mergeCells count="1">
    <mergeCell ref="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2026-03-17T13:24:43Z</dcterms:created>
  <dcterms:modified xsi:type="dcterms:W3CDTF">2026-03-17T13:24:43Z</dcterms:modified>
</cp:coreProperties>
</file>