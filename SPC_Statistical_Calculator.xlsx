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Data" sheetId="2" state="visible" r:id="rId2"/>
    <sheet name="Charts" sheetId="3" state="visible" r:id="rId3"/>
    <sheet name="History" sheetId="4" state="visible" r:id="rId4"/>
    <sheet name="Reference" sheetId="5" state="visible" r:id="rId5"/>
  </sheets>
  <definedNames>
    <definedName name="_xlnm.Print_Area" localSheetId="0">'Analysis'!$A$1:$J$31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0.00000"/>
    <numFmt numFmtId="166" formatCode="0.0"/>
    <numFmt numFmtId="167" formatCode="0.0000%"/>
    <numFmt numFmtId="168" formatCode="#,##0.0"/>
    <numFmt numFmtId="169" formatCode="0.0000"/>
    <numFmt numFmtId="170" formatCode=";;;"/>
    <numFmt numFmtId="171" formatCode="YYYY-MM-DD"/>
  </numFmts>
  <fonts count="20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B7280"/>
      <sz val="10"/>
    </font>
    <font>
      <name val="Calibri"/>
      <b val="1"/>
      <color rgb="001E3A8A"/>
      <sz val="11"/>
    </font>
    <font>
      <name val="Calibri"/>
      <b val="1"/>
      <color rgb="001E3A8A"/>
      <sz val="10"/>
    </font>
    <font>
      <name val="Calibri"/>
      <sz val="11"/>
    </font>
    <font>
      <name val="Calibri"/>
      <i val="1"/>
      <color rgb="006B7280"/>
      <sz val="9"/>
    </font>
    <font>
      <name val="Calibri"/>
      <i val="1"/>
      <color rgb="00F97316"/>
      <sz val="9"/>
    </font>
    <font>
      <name val="Calibri"/>
      <b val="1"/>
      <color rgb="001E3A8A"/>
      <sz val="12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3B82F6"/>
      <sz val="10"/>
    </font>
    <font>
      <name val="Calibri"/>
      <b val="1"/>
      <color rgb="00F97316"/>
      <sz val="10"/>
    </font>
    <font>
      <name val="Calibri"/>
      <b val="1"/>
      <color rgb="00FFFFFF"/>
      <sz val="11"/>
    </font>
    <font>
      <color rgb="006B7280"/>
      <sz val="9"/>
    </font>
    <font>
      <name val="Calibri"/>
      <b val="1"/>
      <color rgb="00047857"/>
      <sz val="10"/>
    </font>
    <font>
      <name val="Calibri"/>
      <b val="1"/>
      <color rgb="00F97316"/>
      <sz val="12"/>
    </font>
    <font>
      <color rgb="00FFFFFF"/>
      <sz val="1"/>
    </font>
  </fonts>
  <fills count="9">
    <fill>
      <patternFill/>
    </fill>
    <fill>
      <patternFill patternType="gray125"/>
    </fill>
    <fill>
      <patternFill patternType="solid">
        <fgColor rgb="00E0E7FF"/>
        <bgColor rgb="00E0E7FF"/>
      </patternFill>
    </fill>
    <fill>
      <patternFill patternType="solid">
        <fgColor rgb="00DBEAFE"/>
        <bgColor rgb="00DBEAFE"/>
      </patternFill>
    </fill>
    <fill>
      <patternFill patternType="solid">
        <fgColor rgb="00F0FDF4"/>
        <bgColor rgb="00F0FDF4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168" fontId="5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8" fontId="9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8" fillId="5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9" fontId="5" fillId="5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8" borderId="1" pivotButton="0" quotePrefix="0" xfId="0"/>
    <xf numFmtId="164" fontId="0" fillId="8" borderId="1" pivotButton="0" quotePrefix="0" xfId="0"/>
    <xf numFmtId="164" fontId="5" fillId="4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 wrapText="1"/>
    </xf>
    <xf numFmtId="170" fontId="19" fillId="0" borderId="0" pivotButton="0" quotePrefix="0" xfId="0"/>
    <xf numFmtId="2" fontId="0" fillId="0" borderId="1" pivotButton="0" quotePrefix="0" xfId="0"/>
    <xf numFmtId="169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" fontId="5" fillId="5" borderId="1" applyAlignment="1" pivotButton="0" quotePrefix="0" xfId="0">
      <alignment horizontal="center" vertical="center" wrapText="1"/>
    </xf>
    <xf numFmtId="171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" fontId="0" fillId="5" borderId="1" applyAlignment="1" pivotButton="0" quotePrefix="0" xfId="0">
      <alignment horizontal="center" vertical="center" wrapText="1"/>
    </xf>
    <xf numFmtId="168" fontId="0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b val="1"/>
        <color rgb="00047857"/>
      </font>
      <fill>
        <patternFill patternType="solid">
          <fgColor rgb="00D1FAE5"/>
          <bgColor rgb="00D1FAE5"/>
        </patternFill>
      </fill>
    </dxf>
    <dxf>
      <font>
        <b val="1"/>
        <color rgb="0092400E"/>
      </font>
      <fill>
        <patternFill patternType="solid">
          <fgColor rgb="00FEF3C7"/>
          <bgColor rgb="00FEF3C7"/>
        </patternFill>
      </fill>
    </dxf>
    <dxf>
      <font>
        <b val="1"/>
        <color rgb="00991B1B"/>
      </font>
      <fill>
        <patternFill patternType="solid">
          <fgColor rgb="00FEE2E2"/>
          <bgColor rgb="00FEE2E2"/>
        </patternFill>
      </fill>
    </dxf>
    <dxf>
      <font>
        <b val="1"/>
        <color rgb="00FFFFFF"/>
        <sz val="14"/>
      </font>
      <fill>
        <patternFill patternType="solid">
          <fgColor rgb="00059669"/>
          <bgColor rgb="00059669"/>
        </patternFill>
      </fill>
    </dxf>
    <dxf>
      <font>
        <b val="1"/>
        <color rgb="00FFFFFF"/>
        <sz val="14"/>
      </font>
      <fill>
        <patternFill patternType="solid">
          <fgColor rgb="00D97706"/>
          <bgColor rgb="00D97706"/>
        </patternFill>
      </fill>
    </dxf>
    <dxf>
      <font>
        <b val="1"/>
        <color rgb="00FFFFFF"/>
        <sz val="14"/>
      </font>
      <fill>
        <patternFill patternType="solid">
          <fgColor rgb="00DC2626"/>
          <bgColor rgb="00DC2626"/>
        </patternFill>
      </fill>
    </dxf>
    <dxf>
      <font>
        <color rgb="009CA3AF"/>
      </font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1. Process Distribution — Current vs Centered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'Charts'!D4</f>
            </strRef>
          </tx>
          <spPr>
            <a:ln w="25000">
              <a:solidFill>
                <a:srgbClr val="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'Charts'!$C$5:$C$37</f>
            </numRef>
          </cat>
          <val>
            <numRef>
              <f>'Charts'!$D$5:$D$37</f>
            </numRef>
          </val>
        </ser>
        <ser>
          <idx val="1"/>
          <order val="1"/>
          <tx>
            <strRef>
              <f>'Charts'!E4</f>
            </strRef>
          </tx>
          <spPr>
            <a:ln>
              <a:solidFill>
                <a:srgbClr val="007BC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'Charts'!$C$5:$C$37</f>
            </numRef>
          </cat>
          <val>
            <numRef>
              <f>'Charts'!$E$5:$E$37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Density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2. I-Chart — Individual Values with Control Limits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'Charts'!I4</f>
            </strRef>
          </tx>
          <spPr>
            <a:ln w="18000">
              <a:solidFill>
                <a:srgbClr val="3B82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'Charts'!$H$5:$H$104</f>
            </numRef>
          </cat>
          <val>
            <numRef>
              <f>'Charts'!$I$5:$I$104</f>
            </numRef>
          </val>
        </ser>
        <ser>
          <idx val="1"/>
          <order val="1"/>
          <tx>
            <strRef>
              <f>'Charts'!K4</f>
            </strRef>
          </tx>
          <spPr>
            <a:ln w="18000">
              <a:solidFill>
                <a:srgbClr val="05966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'Charts'!$H$5:$H$104</f>
            </numRef>
          </cat>
          <val>
            <numRef>
              <f>'Charts'!$K$5:$K$104</f>
            </numRef>
          </val>
        </ser>
        <ser>
          <idx val="2"/>
          <order val="2"/>
          <tx>
            <strRef>
              <f>'Charts'!L4</f>
            </strRef>
          </tx>
          <spPr>
            <a:ln w="15000">
              <a:solidFill>
                <a:srgbClr val="DC262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'Charts'!$H$5:$H$104</f>
            </numRef>
          </cat>
          <val>
            <numRef>
              <f>'Charts'!$L$5:$L$104</f>
            </numRef>
          </val>
        </ser>
        <ser>
          <idx val="3"/>
          <order val="3"/>
          <tx>
            <strRef>
              <f>'Charts'!M4</f>
            </strRef>
          </tx>
          <spPr>
            <a:ln w="15000">
              <a:solidFill>
                <a:srgbClr val="DC262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'Charts'!$H$5:$H$104</f>
            </numRef>
          </cat>
          <val>
            <numRef>
              <f>'Charts'!$M$5:$M$104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Part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3. Moving Range (MR) Chart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'Charts'!J4</f>
            </strRef>
          </tx>
          <spPr>
            <a:ln w="18000">
              <a:solidFill>
                <a:srgbClr val="F9731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'Charts'!$H$5:$H$104</f>
            </numRef>
          </cat>
          <val>
            <numRef>
              <f>'Charts'!$J$5:$J$104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Part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4. Capability Index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'Charts'!C41</f>
            </strRef>
          </tx>
          <spPr>
            <a:solidFill>
              <a:srgbClr val="3B82F6"/>
            </a:solidFill>
            <a:ln>
              <a:prstDash val="solid"/>
            </a:ln>
          </spPr>
          <cat>
            <numRef>
              <f>'Charts'!$B$42:$B$43</f>
            </numRef>
          </cat>
          <val>
            <numRef>
              <f>'Charts'!$C$42:$C$43</f>
            </numRef>
          </val>
        </ser>
        <ser>
          <idx val="1"/>
          <order val="1"/>
          <tx>
            <strRef>
              <f>'Charts'!D41</f>
            </strRef>
          </tx>
          <spPr>
            <a:solidFill>
              <a:srgbClr val="059669"/>
            </a:solidFill>
            <a:ln>
              <a:prstDash val="solid"/>
            </a:ln>
          </spPr>
          <cat>
            <numRef>
              <f>'Charts'!$B$42:$B$43</f>
            </numRef>
          </cat>
          <val>
            <numRef>
              <f>'Charts'!$D$42:$D$43</f>
            </numRef>
          </val>
        </ser>
        <ser>
          <idx val="2"/>
          <order val="2"/>
          <tx>
            <strRef>
              <f>'Charts'!E41</f>
            </strRef>
          </tx>
          <spPr>
            <a:solidFill>
              <a:srgbClr val="DC2626"/>
            </a:solidFill>
            <a:ln>
              <a:prstDash val="solid"/>
            </a:ln>
          </spPr>
          <cat>
            <numRef>
              <f>'Charts'!$B$42:$B$43</f>
            </numRef>
          </cat>
          <val>
            <numRef>
              <f>'Charts'!$E$42:$E$43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Index Value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76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B1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3" customWidth="1" min="4" max="4"/>
    <col width="3" customWidth="1" min="5" max="5"/>
    <col width="28" customWidth="1" min="6" max="6"/>
    <col width="18" customWidth="1" min="7" max="7"/>
    <col width="3" customWidth="1" min="8" max="8"/>
    <col width="28" customWidth="1" min="9" max="9"/>
    <col width="18" customWidth="1" min="10" max="10"/>
  </cols>
  <sheetData>
    <row r="1">
      <c r="B1" s="1" t="inlineStr">
        <is>
          <t>Statistical Process Capability &amp; Optimization Tool</t>
        </is>
      </c>
    </row>
    <row r="2">
      <c r="B2" s="2" t="inlineStr">
        <is>
          <t>Automotive Dimensional Capability Analysis — Single Characteristic | Excel Edition</t>
        </is>
      </c>
    </row>
    <row r="4">
      <c r="B4" s="3" t="inlineStr">
        <is>
          <t>I. SPECIFICATIONS</t>
        </is>
      </c>
      <c r="C4" s="4" t="n"/>
      <c r="F4" s="3" t="inlineStr">
        <is>
          <t>EFFECTIVE DATA (auto-selected by mode)</t>
        </is>
      </c>
      <c r="G4" s="4" t="n"/>
      <c r="I4" s="3" t="inlineStr">
        <is>
          <t>V. PROBABILITY &amp; DEFECTS</t>
        </is>
      </c>
      <c r="J4" s="4" t="n"/>
    </row>
    <row r="5">
      <c r="B5" s="5" t="inlineStr">
        <is>
          <t>Measurement Name</t>
        </is>
      </c>
      <c r="C5" s="6" t="inlineStr">
        <is>
          <t>Diameter A</t>
        </is>
      </c>
      <c r="F5" s="5" t="inlineStr">
        <is>
          <t>Worksheet x̄</t>
        </is>
      </c>
      <c r="G5" s="7">
        <f>Data!G6</f>
        <v/>
      </c>
      <c r="I5" s="5" t="inlineStr">
        <is>
          <t>P(x &gt; USL)</t>
        </is>
      </c>
      <c r="J5" s="8">
        <f>IF(G10=0,IF(G9&gt;C8,1,0),1-NORM.DIST(C8,G9,G10,TRUE))</f>
        <v/>
      </c>
    </row>
    <row r="6">
      <c r="B6" s="5" t="inlineStr">
        <is>
          <t>Target Mean (Tₘ)</t>
        </is>
      </c>
      <c r="C6" s="9" t="n">
        <v>10</v>
      </c>
      <c r="F6" s="5" t="inlineStr">
        <is>
          <t>Worksheet σ</t>
        </is>
      </c>
      <c r="G6" s="7">
        <f>Data!G7</f>
        <v/>
      </c>
      <c r="I6" s="5" t="inlineStr">
        <is>
          <t>P(x &lt; LSL)</t>
        </is>
      </c>
      <c r="J6" s="8">
        <f>IF(G10=0,IF(G9&lt;C7,1,0),NORM.DIST(C7,G9,G10,TRUE))</f>
        <v/>
      </c>
    </row>
    <row r="7">
      <c r="B7" s="5" t="inlineStr">
        <is>
          <t>Lower Spec Limit (LSL)</t>
        </is>
      </c>
      <c r="C7" s="9" t="n">
        <v>9.9</v>
      </c>
      <c r="F7" s="5" t="inlineStr">
        <is>
          <t>Worksheet n</t>
        </is>
      </c>
      <c r="G7" s="10">
        <f>Data!G5</f>
        <v/>
      </c>
      <c r="I7" s="5" t="inlineStr">
        <is>
          <t>P(x &lt; Tₘ)</t>
        </is>
      </c>
      <c r="J7" s="11">
        <f>IF(G10=0,IF(G9&lt;C6,1,0),NORM.DIST(C6,G9,G10,TRUE))</f>
        <v/>
      </c>
    </row>
    <row r="8">
      <c r="B8" s="5" t="inlineStr">
        <is>
          <t>Upper Spec Limit (USL)</t>
        </is>
      </c>
      <c r="C8" s="9" t="n">
        <v>10.1</v>
      </c>
      <c r="F8" s="12" t="inlineStr">
        <is>
          <t>▼ Active values used in calculations:</t>
        </is>
      </c>
      <c r="I8" s="5" t="inlineStr">
        <is>
          <t>PPM Above USL</t>
        </is>
      </c>
      <c r="J8" s="13">
        <f>J5*1000000</f>
        <v/>
      </c>
    </row>
    <row r="9">
      <c r="B9" s="3" t="inlineStr">
        <is>
          <t>II. DATA &amp; GOALS</t>
        </is>
      </c>
      <c r="C9" s="4" t="n"/>
      <c r="F9" s="5" t="inlineStr">
        <is>
          <t>x̄ (ACTIVE)</t>
        </is>
      </c>
      <c r="G9" s="14">
        <f>IF(C10="Use Data Worksheet",G5,C12)</f>
        <v/>
      </c>
      <c r="I9" s="5" t="inlineStr">
        <is>
          <t>PPM Below LSL</t>
        </is>
      </c>
      <c r="J9" s="13">
        <f>J6*1000000</f>
        <v/>
      </c>
    </row>
    <row r="10">
      <c r="B10" s="5" t="inlineStr">
        <is>
          <t>Data Input Mode</t>
        </is>
      </c>
      <c r="C10" s="6" t="inlineStr">
        <is>
          <t>Enter Manually</t>
        </is>
      </c>
      <c r="F10" s="5" t="inlineStr">
        <is>
          <t>σ (ACTIVE)</t>
        </is>
      </c>
      <c r="G10" s="14">
        <f>IF(C10="Use Data Worksheet",G6,C13)</f>
        <v/>
      </c>
      <c r="I10" s="5" t="inlineStr">
        <is>
          <t>Total PPM</t>
        </is>
      </c>
      <c r="J10" s="15">
        <f>J8+J9</f>
        <v/>
      </c>
    </row>
    <row r="11">
      <c r="B11" s="16" t="inlineStr">
        <is>
          <t>▼ Manual inputs (used when Mode = Enter Manually)</t>
        </is>
      </c>
      <c r="F11" s="5" t="inlineStr">
        <is>
          <t>n (ACTIVE)</t>
        </is>
      </c>
      <c r="G11" s="17">
        <f>IF(C10="Use Data Worksheet",G7,C14)</f>
        <v/>
      </c>
    </row>
    <row r="12">
      <c r="B12" s="5" t="inlineStr">
        <is>
          <t>x̄ (Measured Mean)</t>
        </is>
      </c>
      <c r="C12" s="18" t="n">
        <v>10</v>
      </c>
      <c r="I12" s="3" t="inlineStr">
        <is>
          <t>VI. HYPOTHESIS TEST (μ vs Tₘ)</t>
        </is>
      </c>
      <c r="J12" s="4" t="n"/>
    </row>
    <row r="13">
      <c r="B13" s="5" t="inlineStr">
        <is>
          <t>σ (Standard Deviation)</t>
        </is>
      </c>
      <c r="C13" s="18" t="n">
        <v>0.015</v>
      </c>
      <c r="F13" s="3" t="inlineStr">
        <is>
          <t>IV. CALCULATED RESULTS</t>
        </is>
      </c>
      <c r="G13" s="4" t="n"/>
      <c r="I13" s="5" t="inlineStr">
        <is>
          <t>Standard Error (SE)</t>
        </is>
      </c>
      <c r="J13" s="19">
        <f>IF(G10=0,0,G10/SQRT(G11))</f>
        <v/>
      </c>
    </row>
    <row r="14">
      <c r="B14" s="5" t="inlineStr">
        <is>
          <t>n (Sample Size)</t>
        </is>
      </c>
      <c r="C14" s="20" t="n">
        <v>30</v>
      </c>
      <c r="F14" s="5" t="inlineStr">
        <is>
          <t>Tolerance (T = USL − LSL)</t>
        </is>
      </c>
      <c r="G14" s="21">
        <f>C8-C7</f>
        <v/>
      </c>
      <c r="I14" s="5" t="inlineStr">
        <is>
          <t>Z-statistic</t>
        </is>
      </c>
      <c r="J14" s="21">
        <f>IF(J13=0,IF(G9=C6,0,999),(G9-C6)/J13)</f>
        <v/>
      </c>
    </row>
    <row r="15">
      <c r="B15" s="3" t="inlineStr">
        <is>
          <t>III. TARGETS &amp; SETTINGS</t>
        </is>
      </c>
      <c r="C15" s="4" t="n"/>
      <c r="F15" s="5" t="inlineStr">
        <is>
          <t>6σ Spread</t>
        </is>
      </c>
      <c r="G15" s="21">
        <f>6*G10</f>
        <v/>
      </c>
      <c r="I15" s="5" t="inlineStr">
        <is>
          <t>p-value</t>
        </is>
      </c>
      <c r="J15" s="22">
        <f>IF(C19="Two-Sided",2*(1-NORM.S.DIST(ABS(J14),TRUE)),IF(C19="Upper-Sided",1-NORM.S.DIST(J14,TRUE),NORM.S.DIST(J14,TRUE)))</f>
        <v/>
      </c>
    </row>
    <row r="16">
      <c r="B16" s="5" t="inlineStr">
        <is>
          <t>Target Capability Index</t>
        </is>
      </c>
      <c r="C16" s="23" t="n">
        <v>1.67</v>
      </c>
      <c r="F16" s="5" t="inlineStr">
        <is>
          <t>8σ Spread</t>
        </is>
      </c>
      <c r="G16" s="21">
        <f>8*G10</f>
        <v/>
      </c>
      <c r="I16" s="5" t="inlineStr">
        <is>
          <t>Alpha (α)</t>
        </is>
      </c>
      <c r="J16" s="24">
        <f>1-C17/100</f>
        <v/>
      </c>
    </row>
    <row r="17">
      <c r="B17" s="5" t="inlineStr">
        <is>
          <t>Confidence Level (%)</t>
        </is>
      </c>
      <c r="C17" s="25" t="n">
        <v>95</v>
      </c>
      <c r="F17" s="5" t="inlineStr">
        <is>
          <t>Cp (Potential Capability)</t>
        </is>
      </c>
      <c r="G17" s="21">
        <f>IF(G10=0,"∞",(C8-C7)/(6*G10))</f>
        <v/>
      </c>
      <c r="I17" s="5" t="inlineStr">
        <is>
          <t>Decision</t>
        </is>
      </c>
      <c r="J17" s="26">
        <f>IF(J15&lt;J16,"❌ Reject H₀ — Mean shifted","✅ Fail to Reject H₀ — On target")</f>
        <v/>
      </c>
    </row>
    <row r="18">
      <c r="B18" s="5" t="inlineStr">
        <is>
          <t>Decimal Places</t>
        </is>
      </c>
      <c r="C18" s="20" t="n">
        <v>3</v>
      </c>
      <c r="F18" s="5" t="inlineStr">
        <is>
          <t>Cpk (Actual Capability)</t>
        </is>
      </c>
      <c r="G18" s="21">
        <f>IF(G10=0,"∞",MIN((C8-G9)/(3*G10),(G9-C7)/(3*G10)))</f>
        <v/>
      </c>
      <c r="I18" s="5" t="inlineStr">
        <is>
          <t>CI Lower Bound</t>
        </is>
      </c>
      <c r="J18" s="22">
        <f>G9-NORM.S.INV(1-J16/2)*J13</f>
        <v/>
      </c>
    </row>
    <row r="19">
      <c r="B19" s="5" t="inlineStr">
        <is>
          <t>Hypothesis Type</t>
        </is>
      </c>
      <c r="C19" s="6" t="inlineStr">
        <is>
          <t>Two-Sided</t>
        </is>
      </c>
      <c r="F19" s="5" t="inlineStr">
        <is>
          <t>Required Shift (Δ = Tₘ − x̄)</t>
        </is>
      </c>
      <c r="G19" s="21">
        <f>C6-G9</f>
        <v/>
      </c>
      <c r="I19" s="5" t="inlineStr">
        <is>
          <t>CI Upper Bound</t>
        </is>
      </c>
      <c r="J19" s="22">
        <f>G9+NORM.S.INV(1-J16/2)*J13</f>
        <v/>
      </c>
    </row>
    <row r="20">
      <c r="F20" s="5" t="inlineStr">
        <is>
          <t>Shift Direction</t>
        </is>
      </c>
      <c r="G20" s="27">
        <f>IF(C6-G9=0,"✅ Centered",IF(C6-G9&gt;0,"⬆ Shift UP","⬇ Shift DOWN"))</f>
        <v/>
      </c>
    </row>
    <row r="21">
      <c r="F21" s="5" t="inlineStr">
        <is>
          <t>Required Tolerance (for target)</t>
        </is>
      </c>
      <c r="G21" s="21">
        <f>IF(G10=0,0,C16*6*G10)</f>
        <v/>
      </c>
      <c r="I21" s="3" t="inlineStr">
        <is>
          <t>VII. ASSESSMENT SUMMARY</t>
        </is>
      </c>
      <c r="J21" s="4" t="n"/>
    </row>
    <row r="22">
      <c r="F22" s="5" t="inlineStr">
        <is>
          <t>x̄ − 3σ</t>
        </is>
      </c>
      <c r="G22" s="21">
        <f>G9-3*G10</f>
        <v/>
      </c>
      <c r="I22" s="5" t="inlineStr">
        <is>
          <t>1. Centering</t>
        </is>
      </c>
      <c r="J22" s="28">
        <f>IF(G10=0,IF(C6-G9=0,"✅ Perfectly centered (σ=0)","⚠ σ=0 but shift of "&amp;TEXT(C6-G9,"0.000")&amp;" needed"),IF(ABS(C6-G9)&lt;G10*0.05,"✅ Well-centered","⚠ Off-target by "&amp;TEXT(C6-G9,"0.000")))</f>
        <v/>
      </c>
    </row>
    <row r="23">
      <c r="F23" s="5" t="inlineStr">
        <is>
          <t>x̄ + 3σ</t>
        </is>
      </c>
      <c r="G23" s="21">
        <f>G9+3*G10</f>
        <v/>
      </c>
      <c r="I23" s="5" t="inlineStr">
        <is>
          <t>2. Capability</t>
        </is>
      </c>
      <c r="J23" s="28">
        <f>IF(G10=0,"✅ Perfect (σ=0, index=∞)",IF(G18&gt;=C16,"✅ Capable: Cpk "&amp;TEXT(G18,"0.000")&amp;" ≥ "&amp;TEXT(C16,"0.00"),IF(G18&gt;=1,"⚠ Marginal: Cpk "&amp;TEXT(G18,"0.000"),"❌ Not Capable: Cpk "&amp;TEXT(G18,"0.000"))))</f>
        <v/>
      </c>
    </row>
    <row r="24">
      <c r="F24" s="5" t="inlineStr">
        <is>
          <t>x̄ − 4σ</t>
        </is>
      </c>
      <c r="G24" s="21">
        <f>G9-4*G10</f>
        <v/>
      </c>
      <c r="I24" s="5" t="inlineStr">
        <is>
          <t>3. Robustness</t>
        </is>
      </c>
      <c r="J24" s="28">
        <f>IF(G10=0,"✅ Robust (σ=0)",IF(AND(C7&lt;G24,C8&gt;G25),"✅ Robust: ±4σ within specs",IF(AND(C7&lt;G22,C8&gt;G23),"⚠ Marginal: ±3σ OK, ±4σ NOT","❌ Not Robust: ±3σ breaches specs")))</f>
        <v/>
      </c>
    </row>
    <row r="25">
      <c r="F25" s="5" t="inlineStr">
        <is>
          <t>x̄ + 4σ</t>
        </is>
      </c>
      <c r="G25" s="21">
        <f>G9+4*G10</f>
        <v/>
      </c>
      <c r="I25" s="5" t="inlineStr">
        <is>
          <t>4. Tolerance</t>
        </is>
      </c>
      <c r="J25" s="28">
        <f>IF(G10=0,"✅ Adequate (σ=0)",IF(G21&lt;=G14,"✅ Adequate: Tol "&amp;TEXT(G14,"0.000")&amp;" ≥ required "&amp;TEXT(G21,"0.000"),"❌ Inadequate: needs "&amp;TEXT(G21,"0.000")&amp;" but only "&amp;TEXT(G14,"0.000")))</f>
        <v/>
      </c>
    </row>
    <row r="26">
      <c r="I26" s="5" t="inlineStr">
        <is>
          <t>5. Hypothesis</t>
        </is>
      </c>
      <c r="J26" s="28">
        <f>J17</f>
        <v/>
      </c>
    </row>
    <row r="28">
      <c r="B28" s="29">
        <f>IF(OR(G18&lt;1,G21&gt;G14),"❌ ACTION REQUIRED — Process not capable",IF(OR(G18&lt;C16,ABS(C6-G9)&gt;G10*0.05,J15&lt;J16),"⚠ MARGINAL — Review recommendations","✅ PROCESS HEALTH: GOOD"))</f>
        <v/>
      </c>
      <c r="C28" s="30" t="n"/>
      <c r="D28" s="30" t="n"/>
      <c r="E28" s="30" t="n"/>
      <c r="F28" s="30" t="n"/>
      <c r="G28" s="30" t="n"/>
      <c r="H28" s="30" t="n"/>
      <c r="I28" s="30" t="n"/>
      <c r="J28" s="31" t="n"/>
    </row>
    <row r="30">
      <c r="B30" s="3" t="inlineStr">
        <is>
          <t>RECOMMENDATIONS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70" customHeight="1">
      <c r="B31" s="32">
        <f>IF(ABS(C6-G9)&gt;G10*0.05,"• Adjust process mean by "&amp;TEXT(C6-G9,"0.000")&amp;" to center on target.","")&amp;IF(G18&lt;C16,CHAR(10)&amp;"• Reduce variation (σ) to meet capability target of "&amp;TEXT(C16,"0.00")&amp;".","")&amp;IF(G21&gt;G14,CHAR(10)&amp;"• Widen tolerance or reduce σ. Required: "&amp;TEXT(G21,"0.000")&amp;", current: "&amp;TEXT(G14,"0.000")&amp;".","")&amp;IF(J15&lt;J16,CHAR(10)&amp;"• Hypothesis test shows significant mean shift (p="&amp;TEXT(J15,"0.0000")&amp;" &lt; α="&amp;TEXT(J16,"0.00")&amp;").","")&amp;IF(AND(G18&gt;=C16,ABS(C6-G9)&lt;=G10*0.05,G21&lt;=G14,J15&gt;=J16),"• Process meets all criteria. Monitor for stability.","")</f>
        <v/>
      </c>
    </row>
  </sheetData>
  <mergeCells count="15">
    <mergeCell ref="I21:J21"/>
    <mergeCell ref="F4:G4"/>
    <mergeCell ref="I12:J12"/>
    <mergeCell ref="I4:J4"/>
    <mergeCell ref="B15:C15"/>
    <mergeCell ref="B11:C11"/>
    <mergeCell ref="B28:J28"/>
    <mergeCell ref="B31:J31"/>
    <mergeCell ref="B1:J1"/>
    <mergeCell ref="F13:G13"/>
    <mergeCell ref="B9:C9"/>
    <mergeCell ref="B4:C4"/>
    <mergeCell ref="B30:J30"/>
    <mergeCell ref="B2:J2"/>
    <mergeCell ref="F8:G8"/>
  </mergeCells>
  <conditionalFormatting sqref="G17">
    <cfRule type="cellIs" priority="1" operator="greaterThanOrEqual" dxfId="0">
      <formula>1.67</formula>
    </cfRule>
    <cfRule type="cellIs" priority="2" operator="between" dxfId="1">
      <formula>1</formula>
      <formula>1.669</formula>
    </cfRule>
    <cfRule type="cellIs" priority="3" operator="lessThan" dxfId="2">
      <formula>1</formula>
    </cfRule>
  </conditionalFormatting>
  <conditionalFormatting sqref="G18">
    <cfRule type="cellIs" priority="4" operator="greaterThanOrEqual" dxfId="0">
      <formula>1.67</formula>
    </cfRule>
    <cfRule type="cellIs" priority="5" operator="between" dxfId="1">
      <formula>1</formula>
      <formula>1.669</formula>
    </cfRule>
    <cfRule type="cellIs" priority="6" operator="lessThan" dxfId="2">
      <formula>1</formula>
    </cfRule>
  </conditionalFormatting>
  <conditionalFormatting sqref="B28">
    <cfRule type="expression" priority="7" dxfId="3">
      <formula>ISNUMBER(SEARCH("GOOD",B28))</formula>
    </cfRule>
    <cfRule type="expression" priority="8" dxfId="4">
      <formula>ISNUMBER(SEARCH("MARGINAL",B28))</formula>
    </cfRule>
    <cfRule type="expression" priority="9" dxfId="5">
      <formula>ISNUMBER(SEARCH("ACTION",B28))</formula>
    </cfRule>
  </conditionalFormatting>
  <conditionalFormatting sqref="C12:C14">
    <cfRule type="expression" priority="10" dxfId="6">
      <formula>$C$10="Use Data Worksheet"</formula>
    </cfRule>
  </conditionalFormatting>
  <dataValidations count="2">
    <dataValidation sqref="C10" showDropDown="0" showInputMessage="0" showErrorMessage="0" allowBlank="0" promptTitle="Mode" prompt="Choose data source" type="list">
      <formula1>"Enter Manually,Use Data Worksheet"</formula1>
    </dataValidation>
    <dataValidation sqref="C19" showDropDown="0" showInputMessage="0" showErrorMessage="0" allowBlank="0" type="list">
      <formula1>"Two-Sided,Upper-Sided,Lower-Sided"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B1:G100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4" customWidth="1" min="3" max="3"/>
    <col width="18" customWidth="1" min="4" max="4"/>
    <col width="4" customWidth="1" min="5" max="5"/>
    <col width="26" customWidth="1" min="6" max="6"/>
    <col width="18" customWidth="1" min="7" max="7"/>
  </cols>
  <sheetData>
    <row r="1">
      <c r="B1" s="1" t="inlineStr">
        <is>
          <t>Data Worksheet — Part-by-Part Entry</t>
        </is>
      </c>
    </row>
    <row r="2">
      <c r="B2" s="2" t="inlineStr">
        <is>
          <t>Enter DMC and measured Value below (max 1000 parts). Statistics auto-link to Analysis sheet.</t>
        </is>
      </c>
    </row>
    <row r="3">
      <c r="B3" s="33">
        <f>Analysis!C5&amp;" | Tₘ="&amp;TEXT(Analysis!C6,"0.000")&amp;" | LSL="&amp;TEXT(Analysis!C7,"0.000")&amp;" | USL="&amp;TEXT(Analysis!C8,"0.000")</f>
        <v/>
      </c>
      <c r="F3" s="34">
        <f>G5&amp;" of 1000 rows used ("&amp;TEXT(G5/1000,"0%")&amp;" capacity)"</f>
        <v/>
      </c>
    </row>
    <row r="4">
      <c r="B4" s="35" t="inlineStr">
        <is>
          <t>#</t>
        </is>
      </c>
      <c r="C4" s="35" t="inlineStr">
        <is>
          <t>DMC / Serial Number</t>
        </is>
      </c>
      <c r="D4" s="35" t="inlineStr">
        <is>
          <t>Value</t>
        </is>
      </c>
      <c r="F4" s="3" t="inlineStr">
        <is>
          <t>AUTO-CALCULATED STATISTICS</t>
        </is>
      </c>
      <c r="G4" s="4" t="n"/>
    </row>
    <row r="5">
      <c r="B5" s="36" t="n">
        <v>1</v>
      </c>
      <c r="C5" s="37" t="inlineStr">
        <is>
          <t>DMC-2024-001</t>
        </is>
      </c>
      <c r="D5" s="38" t="n">
        <v>10.005</v>
      </c>
      <c r="F5" s="5" t="inlineStr">
        <is>
          <t>Count (n)</t>
        </is>
      </c>
      <c r="G5" s="10">
        <f>COUNTA(D5:D1004)</f>
        <v/>
      </c>
    </row>
    <row r="6">
      <c r="B6" s="36" t="n">
        <v>2</v>
      </c>
      <c r="C6" s="39" t="inlineStr">
        <is>
          <t>DMC-2024-002</t>
        </is>
      </c>
      <c r="D6" s="40" t="n">
        <v>9.997999999999999</v>
      </c>
      <c r="F6" s="5" t="inlineStr">
        <is>
          <t>Mean (x̄)</t>
        </is>
      </c>
      <c r="G6" s="7">
        <f>IF(G5&gt;=2,AVERAGE(D5:D1004),"")</f>
        <v/>
      </c>
    </row>
    <row r="7">
      <c r="B7" s="36" t="n">
        <v>3</v>
      </c>
      <c r="C7" s="37" t="inlineStr">
        <is>
          <t>DMC-2024-003</t>
        </is>
      </c>
      <c r="D7" s="38" t="n">
        <v>10.012</v>
      </c>
      <c r="F7" s="5" t="inlineStr">
        <is>
          <t>Std Dev (σ)</t>
        </is>
      </c>
      <c r="G7" s="7">
        <f>IF(G5&gt;=2,STDEV.S(D5:D1004),"")</f>
        <v/>
      </c>
    </row>
    <row r="8">
      <c r="B8" s="36" t="n">
        <v>4</v>
      </c>
      <c r="C8" s="39" t="inlineStr">
        <is>
          <t>DMC-2024-004</t>
        </is>
      </c>
      <c r="D8" s="40" t="n">
        <v>9.984999999999999</v>
      </c>
      <c r="F8" s="5" t="inlineStr">
        <is>
          <t>Min</t>
        </is>
      </c>
      <c r="G8" s="41">
        <f>IF(G5&gt;=1,MIN(D5:D1004),"")</f>
        <v/>
      </c>
    </row>
    <row r="9">
      <c r="B9" s="36" t="n">
        <v>5</v>
      </c>
      <c r="C9" s="37" t="inlineStr">
        <is>
          <t>DMC-2024-005</t>
        </is>
      </c>
      <c r="D9" s="38" t="n">
        <v>10.008</v>
      </c>
      <c r="F9" s="5" t="inlineStr">
        <is>
          <t>Max</t>
        </is>
      </c>
      <c r="G9" s="41">
        <f>IF(G5&gt;=1,MAX(D5:D1004),"")</f>
        <v/>
      </c>
    </row>
    <row r="10">
      <c r="B10" s="36" t="n">
        <v>6</v>
      </c>
      <c r="C10" s="39" t="inlineStr">
        <is>
          <t>DMC-2024-006</t>
        </is>
      </c>
      <c r="D10" s="40" t="n">
        <v>9.992000000000001</v>
      </c>
      <c r="F10" s="5" t="inlineStr">
        <is>
          <t>Range</t>
        </is>
      </c>
      <c r="G10" s="41">
        <f>IF(G5&gt;=2,G9-G8,"")</f>
        <v/>
      </c>
    </row>
    <row r="11">
      <c r="B11" s="36" t="n">
        <v>7</v>
      </c>
      <c r="C11" s="37" t="inlineStr">
        <is>
          <t>DMC-2024-007</t>
        </is>
      </c>
      <c r="D11" s="38" t="n">
        <v>10.015</v>
      </c>
      <c r="F11" s="5" t="inlineStr">
        <is>
          <t>Median</t>
        </is>
      </c>
      <c r="G11" s="41">
        <f>IF(G5&gt;=1,MEDIAN(D5:D1004),"")</f>
        <v/>
      </c>
    </row>
    <row r="12">
      <c r="B12" s="36" t="n">
        <v>8</v>
      </c>
      <c r="C12" s="39" t="inlineStr">
        <is>
          <t>DMC-2024-008</t>
        </is>
      </c>
      <c r="D12" s="40" t="n">
        <v>10.001</v>
      </c>
      <c r="F12" s="5" t="inlineStr">
        <is>
          <t>Q1 (25th %ile)</t>
        </is>
      </c>
      <c r="G12" s="41">
        <f>IF(G5&gt;=4,PERCENTILE(D5:D1004,0.25),"")</f>
        <v/>
      </c>
    </row>
    <row r="13">
      <c r="B13" s="36" t="n">
        <v>9</v>
      </c>
      <c r="C13" s="37" t="inlineStr">
        <is>
          <t>DMC-2024-009</t>
        </is>
      </c>
      <c r="D13" s="38" t="n">
        <v>9.99</v>
      </c>
      <c r="F13" s="5" t="inlineStr">
        <is>
          <t>Q3 (75th %ile)</t>
        </is>
      </c>
      <c r="G13" s="41">
        <f>IF(G5&gt;=4,PERCENTILE(D5:D1004,0.75),"")</f>
        <v/>
      </c>
    </row>
    <row r="14">
      <c r="B14" s="36" t="n">
        <v>10</v>
      </c>
      <c r="C14" s="39" t="inlineStr">
        <is>
          <t>DMC-2024-010</t>
        </is>
      </c>
      <c r="D14" s="40" t="n">
        <v>10.01</v>
      </c>
      <c r="F14" s="5" t="inlineStr">
        <is>
          <t>IQR</t>
        </is>
      </c>
      <c r="G14" s="41">
        <f>IF(G5&gt;=4,G13-G12,"")</f>
        <v/>
      </c>
    </row>
    <row r="15">
      <c r="B15" s="36" t="n">
        <v>11</v>
      </c>
      <c r="C15" s="37" t="n"/>
      <c r="D15" s="38" t="n"/>
      <c r="F15" s="5" t="inlineStr">
        <is>
          <t>Skewness</t>
        </is>
      </c>
      <c r="G15" s="41">
        <f>IF(G5&gt;=3,SKEW(D5:D1004),"")</f>
        <v/>
      </c>
    </row>
    <row r="16">
      <c r="B16" s="36" t="n">
        <v>12</v>
      </c>
      <c r="C16" s="39" t="n"/>
      <c r="D16" s="40" t="n"/>
      <c r="F16" s="5" t="inlineStr">
        <is>
          <t>Kurtosis</t>
        </is>
      </c>
      <c r="G16" s="41">
        <f>IF(G5&gt;=4,KURT(D5:D1004),"")</f>
        <v/>
      </c>
    </row>
    <row r="17">
      <c r="B17" s="36" t="n">
        <v>13</v>
      </c>
      <c r="C17" s="37" t="n"/>
      <c r="D17" s="38" t="n"/>
    </row>
    <row r="18">
      <c r="B18" s="36" t="n">
        <v>14</v>
      </c>
      <c r="C18" s="39" t="n"/>
      <c r="D18" s="40" t="n"/>
      <c r="F18" s="42">
        <f>IF(G5&gt;=2,"✅ "&amp;G5&amp;" of 1000 data points ready. Analysis auto-linked.","⚠ Need ≥2 data points (1000 max allowed).")</f>
        <v/>
      </c>
    </row>
    <row r="19">
      <c r="B19" s="36" t="n">
        <v>15</v>
      </c>
      <c r="C19" s="37" t="n"/>
      <c r="D19" s="38" t="n"/>
    </row>
    <row r="20">
      <c r="B20" s="36" t="n">
        <v>16</v>
      </c>
      <c r="C20" s="39" t="n"/>
      <c r="D20" s="40" t="n"/>
      <c r="F20" s="3" t="inlineStr">
        <is>
          <t>QUICK PREVIEW (from worksheet data)</t>
        </is>
      </c>
      <c r="G20" s="4" t="n"/>
    </row>
    <row r="21">
      <c r="B21" s="36" t="n">
        <v>17</v>
      </c>
      <c r="C21" s="37" t="n"/>
      <c r="D21" s="38" t="n"/>
      <c r="F21" s="5" t="inlineStr">
        <is>
          <t>Cp (preview)</t>
        </is>
      </c>
      <c r="G21" s="21">
        <f>IF(G7=""," — ", IF(G7=0,"∞",(Analysis!C8-Analysis!C7)/(6*G7)))</f>
        <v/>
      </c>
    </row>
    <row r="22">
      <c r="B22" s="36" t="n">
        <v>18</v>
      </c>
      <c r="C22" s="39" t="n"/>
      <c r="D22" s="40" t="n"/>
      <c r="F22" s="5" t="inlineStr">
        <is>
          <t>Cpk (preview)</t>
        </is>
      </c>
      <c r="G22" s="21">
        <f>IF(G7=""," — ", IF(G7=0,"∞",MIN((Analysis!C8-G6)/(3*G7),(G6-Analysis!C7)/(3*G7))))</f>
        <v/>
      </c>
    </row>
    <row r="23">
      <c r="B23" s="36" t="n">
        <v>19</v>
      </c>
      <c r="C23" s="37" t="n"/>
      <c r="D23" s="38" t="n"/>
    </row>
    <row r="24">
      <c r="B24" s="36" t="n">
        <v>20</v>
      </c>
      <c r="C24" s="39" t="n"/>
      <c r="D24" s="40" t="n"/>
      <c r="F24" s="16" t="inlineStr">
        <is>
          <t>💡 10 sample data points pre-filled as template. Replace with your actual measurements.</t>
        </is>
      </c>
    </row>
    <row r="25">
      <c r="B25" s="36" t="n">
        <v>21</v>
      </c>
      <c r="C25" s="37" t="n"/>
      <c r="D25" s="38" t="n"/>
    </row>
    <row r="26">
      <c r="B26" s="36" t="n">
        <v>22</v>
      </c>
      <c r="C26" s="39" t="n"/>
      <c r="D26" s="40" t="n"/>
    </row>
    <row r="27">
      <c r="B27" s="36" t="n">
        <v>23</v>
      </c>
      <c r="C27" s="37" t="n"/>
      <c r="D27" s="38" t="n"/>
    </row>
    <row r="28">
      <c r="B28" s="36" t="n">
        <v>24</v>
      </c>
      <c r="C28" s="39" t="n"/>
      <c r="D28" s="40" t="n"/>
    </row>
    <row r="29">
      <c r="B29" s="36" t="n">
        <v>25</v>
      </c>
      <c r="C29" s="37" t="n"/>
      <c r="D29" s="38" t="n"/>
    </row>
    <row r="30">
      <c r="B30" s="36" t="n">
        <v>26</v>
      </c>
      <c r="C30" s="39" t="n"/>
      <c r="D30" s="40" t="n"/>
    </row>
    <row r="31">
      <c r="B31" s="36" t="n">
        <v>27</v>
      </c>
      <c r="C31" s="37" t="n"/>
      <c r="D31" s="38" t="n"/>
    </row>
    <row r="32">
      <c r="B32" s="36" t="n">
        <v>28</v>
      </c>
      <c r="C32" s="39" t="n"/>
      <c r="D32" s="40" t="n"/>
    </row>
    <row r="33">
      <c r="B33" s="36" t="n">
        <v>29</v>
      </c>
      <c r="C33" s="37" t="n"/>
      <c r="D33" s="38" t="n"/>
    </row>
    <row r="34">
      <c r="B34" s="36" t="n">
        <v>30</v>
      </c>
      <c r="C34" s="39" t="n"/>
      <c r="D34" s="40" t="n"/>
    </row>
    <row r="35">
      <c r="B35" s="36" t="n">
        <v>31</v>
      </c>
      <c r="C35" s="37" t="n"/>
      <c r="D35" s="38" t="n"/>
    </row>
    <row r="36">
      <c r="B36" s="36" t="n">
        <v>32</v>
      </c>
      <c r="C36" s="39" t="n"/>
      <c r="D36" s="40" t="n"/>
    </row>
    <row r="37">
      <c r="B37" s="36" t="n">
        <v>33</v>
      </c>
      <c r="C37" s="37" t="n"/>
      <c r="D37" s="38" t="n"/>
    </row>
    <row r="38">
      <c r="B38" s="36" t="n">
        <v>34</v>
      </c>
      <c r="C38" s="39" t="n"/>
      <c r="D38" s="40" t="n"/>
    </row>
    <row r="39">
      <c r="B39" s="36" t="n">
        <v>35</v>
      </c>
      <c r="C39" s="37" t="n"/>
      <c r="D39" s="38" t="n"/>
    </row>
    <row r="40">
      <c r="B40" s="36" t="n">
        <v>36</v>
      </c>
      <c r="C40" s="39" t="n"/>
      <c r="D40" s="40" t="n"/>
    </row>
    <row r="41">
      <c r="B41" s="36" t="n">
        <v>37</v>
      </c>
      <c r="C41" s="37" t="n"/>
      <c r="D41" s="38" t="n"/>
    </row>
    <row r="42">
      <c r="B42" s="36" t="n">
        <v>38</v>
      </c>
      <c r="C42" s="39" t="n"/>
      <c r="D42" s="40" t="n"/>
    </row>
    <row r="43">
      <c r="B43" s="36" t="n">
        <v>39</v>
      </c>
      <c r="C43" s="37" t="n"/>
      <c r="D43" s="38" t="n"/>
    </row>
    <row r="44">
      <c r="B44" s="36" t="n">
        <v>40</v>
      </c>
      <c r="C44" s="39" t="n"/>
      <c r="D44" s="40" t="n"/>
    </row>
    <row r="45">
      <c r="B45" s="36" t="n">
        <v>41</v>
      </c>
      <c r="C45" s="37" t="n"/>
      <c r="D45" s="38" t="n"/>
    </row>
    <row r="46">
      <c r="B46" s="36" t="n">
        <v>42</v>
      </c>
      <c r="C46" s="39" t="n"/>
      <c r="D46" s="40" t="n"/>
    </row>
    <row r="47">
      <c r="B47" s="36" t="n">
        <v>43</v>
      </c>
      <c r="C47" s="37" t="n"/>
      <c r="D47" s="38" t="n"/>
    </row>
    <row r="48">
      <c r="B48" s="36" t="n">
        <v>44</v>
      </c>
      <c r="C48" s="39" t="n"/>
      <c r="D48" s="40" t="n"/>
    </row>
    <row r="49">
      <c r="B49" s="36" t="n">
        <v>45</v>
      </c>
      <c r="C49" s="37" t="n"/>
      <c r="D49" s="38" t="n"/>
    </row>
    <row r="50">
      <c r="B50" s="36" t="n">
        <v>46</v>
      </c>
      <c r="C50" s="39" t="n"/>
      <c r="D50" s="40" t="n"/>
    </row>
    <row r="51">
      <c r="B51" s="36" t="n">
        <v>47</v>
      </c>
      <c r="C51" s="37" t="n"/>
      <c r="D51" s="38" t="n"/>
    </row>
    <row r="52">
      <c r="B52" s="36" t="n">
        <v>48</v>
      </c>
      <c r="C52" s="39" t="n"/>
      <c r="D52" s="40" t="n"/>
    </row>
    <row r="53">
      <c r="B53" s="36" t="n">
        <v>49</v>
      </c>
      <c r="C53" s="37" t="n"/>
      <c r="D53" s="38" t="n"/>
    </row>
    <row r="54">
      <c r="B54" s="36" t="n">
        <v>50</v>
      </c>
      <c r="C54" s="39" t="n"/>
      <c r="D54" s="40" t="n"/>
    </row>
    <row r="55">
      <c r="B55" s="36" t="n">
        <v>51</v>
      </c>
      <c r="C55" s="37" t="n"/>
      <c r="D55" s="38" t="n"/>
    </row>
    <row r="56">
      <c r="B56" s="36" t="n">
        <v>52</v>
      </c>
      <c r="C56" s="39" t="n"/>
      <c r="D56" s="40" t="n"/>
    </row>
    <row r="57">
      <c r="B57" s="36" t="n">
        <v>53</v>
      </c>
      <c r="C57" s="37" t="n"/>
      <c r="D57" s="38" t="n"/>
    </row>
    <row r="58">
      <c r="B58" s="36" t="n">
        <v>54</v>
      </c>
      <c r="C58" s="39" t="n"/>
      <c r="D58" s="40" t="n"/>
    </row>
    <row r="59">
      <c r="B59" s="36" t="n">
        <v>55</v>
      </c>
      <c r="C59" s="37" t="n"/>
      <c r="D59" s="38" t="n"/>
    </row>
    <row r="60">
      <c r="B60" s="36" t="n">
        <v>56</v>
      </c>
      <c r="C60" s="39" t="n"/>
      <c r="D60" s="40" t="n"/>
    </row>
    <row r="61">
      <c r="B61" s="36" t="n">
        <v>57</v>
      </c>
      <c r="C61" s="37" t="n"/>
      <c r="D61" s="38" t="n"/>
    </row>
    <row r="62">
      <c r="B62" s="36" t="n">
        <v>58</v>
      </c>
      <c r="C62" s="39" t="n"/>
      <c r="D62" s="40" t="n"/>
    </row>
    <row r="63">
      <c r="B63" s="36" t="n">
        <v>59</v>
      </c>
      <c r="C63" s="37" t="n"/>
      <c r="D63" s="38" t="n"/>
    </row>
    <row r="64">
      <c r="B64" s="36" t="n">
        <v>60</v>
      </c>
      <c r="C64" s="39" t="n"/>
      <c r="D64" s="40" t="n"/>
    </row>
    <row r="65">
      <c r="B65" s="36" t="n">
        <v>61</v>
      </c>
      <c r="C65" s="37" t="n"/>
      <c r="D65" s="38" t="n"/>
    </row>
    <row r="66">
      <c r="B66" s="36" t="n">
        <v>62</v>
      </c>
      <c r="C66" s="39" t="n"/>
      <c r="D66" s="40" t="n"/>
    </row>
    <row r="67">
      <c r="B67" s="36" t="n">
        <v>63</v>
      </c>
      <c r="C67" s="37" t="n"/>
      <c r="D67" s="38" t="n"/>
    </row>
    <row r="68">
      <c r="B68" s="36" t="n">
        <v>64</v>
      </c>
      <c r="C68" s="39" t="n"/>
      <c r="D68" s="40" t="n"/>
    </row>
    <row r="69">
      <c r="B69" s="36" t="n">
        <v>65</v>
      </c>
      <c r="C69" s="37" t="n"/>
      <c r="D69" s="38" t="n"/>
    </row>
    <row r="70">
      <c r="B70" s="36" t="n">
        <v>66</v>
      </c>
      <c r="C70" s="39" t="n"/>
      <c r="D70" s="40" t="n"/>
    </row>
    <row r="71">
      <c r="B71" s="36" t="n">
        <v>67</v>
      </c>
      <c r="C71" s="37" t="n"/>
      <c r="D71" s="38" t="n"/>
    </row>
    <row r="72">
      <c r="B72" s="36" t="n">
        <v>68</v>
      </c>
      <c r="C72" s="39" t="n"/>
      <c r="D72" s="40" t="n"/>
    </row>
    <row r="73">
      <c r="B73" s="36" t="n">
        <v>69</v>
      </c>
      <c r="C73" s="37" t="n"/>
      <c r="D73" s="38" t="n"/>
    </row>
    <row r="74">
      <c r="B74" s="36" t="n">
        <v>70</v>
      </c>
      <c r="C74" s="39" t="n"/>
      <c r="D74" s="40" t="n"/>
    </row>
    <row r="75">
      <c r="B75" s="36" t="n">
        <v>71</v>
      </c>
      <c r="C75" s="37" t="n"/>
      <c r="D75" s="38" t="n"/>
    </row>
    <row r="76">
      <c r="B76" s="36" t="n">
        <v>72</v>
      </c>
      <c r="C76" s="39" t="n"/>
      <c r="D76" s="40" t="n"/>
    </row>
    <row r="77">
      <c r="B77" s="36" t="n">
        <v>73</v>
      </c>
      <c r="C77" s="37" t="n"/>
      <c r="D77" s="38" t="n"/>
    </row>
    <row r="78">
      <c r="B78" s="36" t="n">
        <v>74</v>
      </c>
      <c r="C78" s="39" t="n"/>
      <c r="D78" s="40" t="n"/>
    </row>
    <row r="79">
      <c r="B79" s="36" t="n">
        <v>75</v>
      </c>
      <c r="C79" s="37" t="n"/>
      <c r="D79" s="38" t="n"/>
    </row>
    <row r="80">
      <c r="B80" s="36" t="n">
        <v>76</v>
      </c>
      <c r="C80" s="39" t="n"/>
      <c r="D80" s="40" t="n"/>
    </row>
    <row r="81">
      <c r="B81" s="36" t="n">
        <v>77</v>
      </c>
      <c r="C81" s="37" t="n"/>
      <c r="D81" s="38" t="n"/>
    </row>
    <row r="82">
      <c r="B82" s="36" t="n">
        <v>78</v>
      </c>
      <c r="C82" s="39" t="n"/>
      <c r="D82" s="40" t="n"/>
    </row>
    <row r="83">
      <c r="B83" s="36" t="n">
        <v>79</v>
      </c>
      <c r="C83" s="37" t="n"/>
      <c r="D83" s="38" t="n"/>
    </row>
    <row r="84">
      <c r="B84" s="36" t="n">
        <v>80</v>
      </c>
      <c r="C84" s="39" t="n"/>
      <c r="D84" s="40" t="n"/>
    </row>
    <row r="85">
      <c r="B85" s="36" t="n">
        <v>81</v>
      </c>
      <c r="C85" s="37" t="n"/>
      <c r="D85" s="38" t="n"/>
    </row>
    <row r="86">
      <c r="B86" s="36" t="n">
        <v>82</v>
      </c>
      <c r="C86" s="39" t="n"/>
      <c r="D86" s="40" t="n"/>
    </row>
    <row r="87">
      <c r="B87" s="36" t="n">
        <v>83</v>
      </c>
      <c r="C87" s="37" t="n"/>
      <c r="D87" s="38" t="n"/>
    </row>
    <row r="88">
      <c r="B88" s="36" t="n">
        <v>84</v>
      </c>
      <c r="C88" s="39" t="n"/>
      <c r="D88" s="40" t="n"/>
    </row>
    <row r="89">
      <c r="B89" s="36" t="n">
        <v>85</v>
      </c>
      <c r="C89" s="37" t="n"/>
      <c r="D89" s="38" t="n"/>
    </row>
    <row r="90">
      <c r="B90" s="36" t="n">
        <v>86</v>
      </c>
      <c r="C90" s="39" t="n"/>
      <c r="D90" s="40" t="n"/>
    </row>
    <row r="91">
      <c r="B91" s="36" t="n">
        <v>87</v>
      </c>
      <c r="C91" s="37" t="n"/>
      <c r="D91" s="38" t="n"/>
    </row>
    <row r="92">
      <c r="B92" s="36" t="n">
        <v>88</v>
      </c>
      <c r="C92" s="39" t="n"/>
      <c r="D92" s="40" t="n"/>
    </row>
    <row r="93">
      <c r="B93" s="36" t="n">
        <v>89</v>
      </c>
      <c r="C93" s="37" t="n"/>
      <c r="D93" s="38" t="n"/>
    </row>
    <row r="94">
      <c r="B94" s="36" t="n">
        <v>90</v>
      </c>
      <c r="C94" s="39" t="n"/>
      <c r="D94" s="40" t="n"/>
    </row>
    <row r="95">
      <c r="B95" s="36" t="n">
        <v>91</v>
      </c>
      <c r="C95" s="37" t="n"/>
      <c r="D95" s="38" t="n"/>
    </row>
    <row r="96">
      <c r="B96" s="36" t="n">
        <v>92</v>
      </c>
      <c r="C96" s="39" t="n"/>
      <c r="D96" s="40" t="n"/>
    </row>
    <row r="97">
      <c r="B97" s="36" t="n">
        <v>93</v>
      </c>
      <c r="C97" s="37" t="n"/>
      <c r="D97" s="38" t="n"/>
    </row>
    <row r="98">
      <c r="B98" s="36" t="n">
        <v>94</v>
      </c>
      <c r="C98" s="39" t="n"/>
      <c r="D98" s="40" t="n"/>
    </row>
    <row r="99">
      <c r="B99" s="36" t="n">
        <v>95</v>
      </c>
      <c r="C99" s="37" t="n"/>
      <c r="D99" s="38" t="n"/>
    </row>
    <row r="100">
      <c r="B100" s="36" t="n">
        <v>96</v>
      </c>
      <c r="C100" s="39" t="n"/>
      <c r="D100" s="40" t="n"/>
    </row>
    <row r="101">
      <c r="B101" s="36" t="n">
        <v>97</v>
      </c>
      <c r="C101" s="37" t="n"/>
      <c r="D101" s="38" t="n"/>
    </row>
    <row r="102">
      <c r="B102" s="36" t="n">
        <v>98</v>
      </c>
      <c r="C102" s="39" t="n"/>
      <c r="D102" s="40" t="n"/>
    </row>
    <row r="103">
      <c r="B103" s="36" t="n">
        <v>99</v>
      </c>
      <c r="C103" s="37" t="n"/>
      <c r="D103" s="38" t="n"/>
    </row>
    <row r="104">
      <c r="B104" s="36" t="n">
        <v>100</v>
      </c>
      <c r="C104" s="39" t="n"/>
      <c r="D104" s="40" t="n"/>
    </row>
    <row r="105">
      <c r="B105" s="36" t="n">
        <v>101</v>
      </c>
      <c r="C105" s="37" t="n"/>
      <c r="D105" s="38" t="n"/>
    </row>
    <row r="106">
      <c r="B106" s="36" t="n">
        <v>102</v>
      </c>
      <c r="C106" s="39" t="n"/>
      <c r="D106" s="40" t="n"/>
    </row>
    <row r="107">
      <c r="B107" s="36" t="n">
        <v>103</v>
      </c>
      <c r="C107" s="37" t="n"/>
      <c r="D107" s="38" t="n"/>
    </row>
    <row r="108">
      <c r="B108" s="36" t="n">
        <v>104</v>
      </c>
      <c r="C108" s="39" t="n"/>
      <c r="D108" s="40" t="n"/>
    </row>
    <row r="109">
      <c r="B109" s="36" t="n">
        <v>105</v>
      </c>
      <c r="C109" s="37" t="n"/>
      <c r="D109" s="38" t="n"/>
    </row>
    <row r="110">
      <c r="B110" s="36" t="n">
        <v>106</v>
      </c>
      <c r="C110" s="39" t="n"/>
      <c r="D110" s="40" t="n"/>
    </row>
    <row r="111">
      <c r="B111" s="36" t="n">
        <v>107</v>
      </c>
      <c r="C111" s="37" t="n"/>
      <c r="D111" s="38" t="n"/>
    </row>
    <row r="112">
      <c r="B112" s="36" t="n">
        <v>108</v>
      </c>
      <c r="C112" s="39" t="n"/>
      <c r="D112" s="40" t="n"/>
    </row>
    <row r="113">
      <c r="B113" s="36" t="n">
        <v>109</v>
      </c>
      <c r="C113" s="37" t="n"/>
      <c r="D113" s="38" t="n"/>
    </row>
    <row r="114">
      <c r="B114" s="36" t="n">
        <v>110</v>
      </c>
      <c r="C114" s="39" t="n"/>
      <c r="D114" s="40" t="n"/>
    </row>
    <row r="115">
      <c r="B115" s="36" t="n">
        <v>111</v>
      </c>
      <c r="C115" s="37" t="n"/>
      <c r="D115" s="38" t="n"/>
    </row>
    <row r="116">
      <c r="B116" s="36" t="n">
        <v>112</v>
      </c>
      <c r="C116" s="39" t="n"/>
      <c r="D116" s="40" t="n"/>
    </row>
    <row r="117">
      <c r="B117" s="36" t="n">
        <v>113</v>
      </c>
      <c r="C117" s="37" t="n"/>
      <c r="D117" s="38" t="n"/>
    </row>
    <row r="118">
      <c r="B118" s="36" t="n">
        <v>114</v>
      </c>
      <c r="C118" s="39" t="n"/>
      <c r="D118" s="40" t="n"/>
    </row>
    <row r="119">
      <c r="B119" s="36" t="n">
        <v>115</v>
      </c>
      <c r="C119" s="37" t="n"/>
      <c r="D119" s="38" t="n"/>
    </row>
    <row r="120">
      <c r="B120" s="36" t="n">
        <v>116</v>
      </c>
      <c r="C120" s="39" t="n"/>
      <c r="D120" s="40" t="n"/>
    </row>
    <row r="121">
      <c r="B121" s="36" t="n">
        <v>117</v>
      </c>
      <c r="C121" s="37" t="n"/>
      <c r="D121" s="38" t="n"/>
    </row>
    <row r="122">
      <c r="B122" s="36" t="n">
        <v>118</v>
      </c>
      <c r="C122" s="39" t="n"/>
      <c r="D122" s="40" t="n"/>
    </row>
    <row r="123">
      <c r="B123" s="36" t="n">
        <v>119</v>
      </c>
      <c r="C123" s="37" t="n"/>
      <c r="D123" s="38" t="n"/>
    </row>
    <row r="124">
      <c r="B124" s="36" t="n">
        <v>120</v>
      </c>
      <c r="C124" s="39" t="n"/>
      <c r="D124" s="40" t="n"/>
    </row>
    <row r="125">
      <c r="B125" s="36" t="n">
        <v>121</v>
      </c>
      <c r="C125" s="37" t="n"/>
      <c r="D125" s="38" t="n"/>
    </row>
    <row r="126">
      <c r="B126" s="36" t="n">
        <v>122</v>
      </c>
      <c r="C126" s="39" t="n"/>
      <c r="D126" s="40" t="n"/>
    </row>
    <row r="127">
      <c r="B127" s="36" t="n">
        <v>123</v>
      </c>
      <c r="C127" s="37" t="n"/>
      <c r="D127" s="38" t="n"/>
    </row>
    <row r="128">
      <c r="B128" s="36" t="n">
        <v>124</v>
      </c>
      <c r="C128" s="39" t="n"/>
      <c r="D128" s="40" t="n"/>
    </row>
    <row r="129">
      <c r="B129" s="36" t="n">
        <v>125</v>
      </c>
      <c r="C129" s="37" t="n"/>
      <c r="D129" s="38" t="n"/>
    </row>
    <row r="130">
      <c r="B130" s="36" t="n">
        <v>126</v>
      </c>
      <c r="C130" s="39" t="n"/>
      <c r="D130" s="40" t="n"/>
    </row>
    <row r="131">
      <c r="B131" s="36" t="n">
        <v>127</v>
      </c>
      <c r="C131" s="37" t="n"/>
      <c r="D131" s="38" t="n"/>
    </row>
    <row r="132">
      <c r="B132" s="36" t="n">
        <v>128</v>
      </c>
      <c r="C132" s="39" t="n"/>
      <c r="D132" s="40" t="n"/>
    </row>
    <row r="133">
      <c r="B133" s="36" t="n">
        <v>129</v>
      </c>
      <c r="C133" s="37" t="n"/>
      <c r="D133" s="38" t="n"/>
    </row>
    <row r="134">
      <c r="B134" s="36" t="n">
        <v>130</v>
      </c>
      <c r="C134" s="39" t="n"/>
      <c r="D134" s="40" t="n"/>
    </row>
    <row r="135">
      <c r="B135" s="36" t="n">
        <v>131</v>
      </c>
      <c r="C135" s="37" t="n"/>
      <c r="D135" s="38" t="n"/>
    </row>
    <row r="136">
      <c r="B136" s="36" t="n">
        <v>132</v>
      </c>
      <c r="C136" s="39" t="n"/>
      <c r="D136" s="40" t="n"/>
    </row>
    <row r="137">
      <c r="B137" s="36" t="n">
        <v>133</v>
      </c>
      <c r="C137" s="37" t="n"/>
      <c r="D137" s="38" t="n"/>
    </row>
    <row r="138">
      <c r="B138" s="36" t="n">
        <v>134</v>
      </c>
      <c r="C138" s="39" t="n"/>
      <c r="D138" s="40" t="n"/>
    </row>
    <row r="139">
      <c r="B139" s="36" t="n">
        <v>135</v>
      </c>
      <c r="C139" s="37" t="n"/>
      <c r="D139" s="38" t="n"/>
    </row>
    <row r="140">
      <c r="B140" s="36" t="n">
        <v>136</v>
      </c>
      <c r="C140" s="39" t="n"/>
      <c r="D140" s="40" t="n"/>
    </row>
    <row r="141">
      <c r="B141" s="36" t="n">
        <v>137</v>
      </c>
      <c r="C141" s="37" t="n"/>
      <c r="D141" s="38" t="n"/>
    </row>
    <row r="142">
      <c r="B142" s="36" t="n">
        <v>138</v>
      </c>
      <c r="C142" s="39" t="n"/>
      <c r="D142" s="40" t="n"/>
    </row>
    <row r="143">
      <c r="B143" s="36" t="n">
        <v>139</v>
      </c>
      <c r="C143" s="37" t="n"/>
      <c r="D143" s="38" t="n"/>
    </row>
    <row r="144">
      <c r="B144" s="36" t="n">
        <v>140</v>
      </c>
      <c r="C144" s="39" t="n"/>
      <c r="D144" s="40" t="n"/>
    </row>
    <row r="145">
      <c r="B145" s="36" t="n">
        <v>141</v>
      </c>
      <c r="C145" s="37" t="n"/>
      <c r="D145" s="38" t="n"/>
    </row>
    <row r="146">
      <c r="B146" s="36" t="n">
        <v>142</v>
      </c>
      <c r="C146" s="39" t="n"/>
      <c r="D146" s="40" t="n"/>
    </row>
    <row r="147">
      <c r="B147" s="36" t="n">
        <v>143</v>
      </c>
      <c r="C147" s="37" t="n"/>
      <c r="D147" s="38" t="n"/>
    </row>
    <row r="148">
      <c r="B148" s="36" t="n">
        <v>144</v>
      </c>
      <c r="C148" s="39" t="n"/>
      <c r="D148" s="40" t="n"/>
    </row>
    <row r="149">
      <c r="B149" s="36" t="n">
        <v>145</v>
      </c>
      <c r="C149" s="37" t="n"/>
      <c r="D149" s="38" t="n"/>
    </row>
    <row r="150">
      <c r="B150" s="36" t="n">
        <v>146</v>
      </c>
      <c r="C150" s="39" t="n"/>
      <c r="D150" s="40" t="n"/>
    </row>
    <row r="151">
      <c r="B151" s="36" t="n">
        <v>147</v>
      </c>
      <c r="C151" s="37" t="n"/>
      <c r="D151" s="38" t="n"/>
    </row>
    <row r="152">
      <c r="B152" s="36" t="n">
        <v>148</v>
      </c>
      <c r="C152" s="39" t="n"/>
      <c r="D152" s="40" t="n"/>
    </row>
    <row r="153">
      <c r="B153" s="36" t="n">
        <v>149</v>
      </c>
      <c r="C153" s="37" t="n"/>
      <c r="D153" s="38" t="n"/>
    </row>
    <row r="154">
      <c r="B154" s="36" t="n">
        <v>150</v>
      </c>
      <c r="C154" s="39" t="n"/>
      <c r="D154" s="40" t="n"/>
    </row>
    <row r="155">
      <c r="B155" s="36" t="n">
        <v>151</v>
      </c>
      <c r="C155" s="37" t="n"/>
      <c r="D155" s="38" t="n"/>
    </row>
    <row r="156">
      <c r="B156" s="36" t="n">
        <v>152</v>
      </c>
      <c r="C156" s="39" t="n"/>
      <c r="D156" s="40" t="n"/>
    </row>
    <row r="157">
      <c r="B157" s="36" t="n">
        <v>153</v>
      </c>
      <c r="C157" s="37" t="n"/>
      <c r="D157" s="38" t="n"/>
    </row>
    <row r="158">
      <c r="B158" s="36" t="n">
        <v>154</v>
      </c>
      <c r="C158" s="39" t="n"/>
      <c r="D158" s="40" t="n"/>
    </row>
    <row r="159">
      <c r="B159" s="36" t="n">
        <v>155</v>
      </c>
      <c r="C159" s="37" t="n"/>
      <c r="D159" s="38" t="n"/>
    </row>
    <row r="160">
      <c r="B160" s="36" t="n">
        <v>156</v>
      </c>
      <c r="C160" s="39" t="n"/>
      <c r="D160" s="40" t="n"/>
    </row>
    <row r="161">
      <c r="B161" s="36" t="n">
        <v>157</v>
      </c>
      <c r="C161" s="37" t="n"/>
      <c r="D161" s="38" t="n"/>
    </row>
    <row r="162">
      <c r="B162" s="36" t="n">
        <v>158</v>
      </c>
      <c r="C162" s="39" t="n"/>
      <c r="D162" s="40" t="n"/>
    </row>
    <row r="163">
      <c r="B163" s="36" t="n">
        <v>159</v>
      </c>
      <c r="C163" s="37" t="n"/>
      <c r="D163" s="38" t="n"/>
    </row>
    <row r="164">
      <c r="B164" s="36" t="n">
        <v>160</v>
      </c>
      <c r="C164" s="39" t="n"/>
      <c r="D164" s="40" t="n"/>
    </row>
    <row r="165">
      <c r="B165" s="36" t="n">
        <v>161</v>
      </c>
      <c r="C165" s="37" t="n"/>
      <c r="D165" s="38" t="n"/>
    </row>
    <row r="166">
      <c r="B166" s="36" t="n">
        <v>162</v>
      </c>
      <c r="C166" s="39" t="n"/>
      <c r="D166" s="40" t="n"/>
    </row>
    <row r="167">
      <c r="B167" s="36" t="n">
        <v>163</v>
      </c>
      <c r="C167" s="37" t="n"/>
      <c r="D167" s="38" t="n"/>
    </row>
    <row r="168">
      <c r="B168" s="36" t="n">
        <v>164</v>
      </c>
      <c r="C168" s="39" t="n"/>
      <c r="D168" s="40" t="n"/>
    </row>
    <row r="169">
      <c r="B169" s="36" t="n">
        <v>165</v>
      </c>
      <c r="C169" s="37" t="n"/>
      <c r="D169" s="38" t="n"/>
    </row>
    <row r="170">
      <c r="B170" s="36" t="n">
        <v>166</v>
      </c>
      <c r="C170" s="39" t="n"/>
      <c r="D170" s="40" t="n"/>
    </row>
    <row r="171">
      <c r="B171" s="36" t="n">
        <v>167</v>
      </c>
      <c r="C171" s="37" t="n"/>
      <c r="D171" s="38" t="n"/>
    </row>
    <row r="172">
      <c r="B172" s="36" t="n">
        <v>168</v>
      </c>
      <c r="C172" s="39" t="n"/>
      <c r="D172" s="40" t="n"/>
    </row>
    <row r="173">
      <c r="B173" s="36" t="n">
        <v>169</v>
      </c>
      <c r="C173" s="37" t="n"/>
      <c r="D173" s="38" t="n"/>
    </row>
    <row r="174">
      <c r="B174" s="36" t="n">
        <v>170</v>
      </c>
      <c r="C174" s="39" t="n"/>
      <c r="D174" s="40" t="n"/>
    </row>
    <row r="175">
      <c r="B175" s="36" t="n">
        <v>171</v>
      </c>
      <c r="C175" s="37" t="n"/>
      <c r="D175" s="38" t="n"/>
    </row>
    <row r="176">
      <c r="B176" s="36" t="n">
        <v>172</v>
      </c>
      <c r="C176" s="39" t="n"/>
      <c r="D176" s="40" t="n"/>
    </row>
    <row r="177">
      <c r="B177" s="36" t="n">
        <v>173</v>
      </c>
      <c r="C177" s="37" t="n"/>
      <c r="D177" s="38" t="n"/>
    </row>
    <row r="178">
      <c r="B178" s="36" t="n">
        <v>174</v>
      </c>
      <c r="C178" s="39" t="n"/>
      <c r="D178" s="40" t="n"/>
    </row>
    <row r="179">
      <c r="B179" s="36" t="n">
        <v>175</v>
      </c>
      <c r="C179" s="37" t="n"/>
      <c r="D179" s="38" t="n"/>
    </row>
    <row r="180">
      <c r="B180" s="36" t="n">
        <v>176</v>
      </c>
      <c r="C180" s="39" t="n"/>
      <c r="D180" s="40" t="n"/>
    </row>
    <row r="181">
      <c r="B181" s="36" t="n">
        <v>177</v>
      </c>
      <c r="C181" s="37" t="n"/>
      <c r="D181" s="38" t="n"/>
    </row>
    <row r="182">
      <c r="B182" s="36" t="n">
        <v>178</v>
      </c>
      <c r="C182" s="39" t="n"/>
      <c r="D182" s="40" t="n"/>
    </row>
    <row r="183">
      <c r="B183" s="36" t="n">
        <v>179</v>
      </c>
      <c r="C183" s="37" t="n"/>
      <c r="D183" s="38" t="n"/>
    </row>
    <row r="184">
      <c r="B184" s="36" t="n">
        <v>180</v>
      </c>
      <c r="C184" s="39" t="n"/>
      <c r="D184" s="40" t="n"/>
    </row>
    <row r="185">
      <c r="B185" s="36" t="n">
        <v>181</v>
      </c>
      <c r="C185" s="37" t="n"/>
      <c r="D185" s="38" t="n"/>
    </row>
    <row r="186">
      <c r="B186" s="36" t="n">
        <v>182</v>
      </c>
      <c r="C186" s="39" t="n"/>
      <c r="D186" s="40" t="n"/>
    </row>
    <row r="187">
      <c r="B187" s="36" t="n">
        <v>183</v>
      </c>
      <c r="C187" s="37" t="n"/>
      <c r="D187" s="38" t="n"/>
    </row>
    <row r="188">
      <c r="B188" s="36" t="n">
        <v>184</v>
      </c>
      <c r="C188" s="39" t="n"/>
      <c r="D188" s="40" t="n"/>
    </row>
    <row r="189">
      <c r="B189" s="36" t="n">
        <v>185</v>
      </c>
      <c r="C189" s="37" t="n"/>
      <c r="D189" s="38" t="n"/>
    </row>
    <row r="190">
      <c r="B190" s="36" t="n">
        <v>186</v>
      </c>
      <c r="C190" s="39" t="n"/>
      <c r="D190" s="40" t="n"/>
    </row>
    <row r="191">
      <c r="B191" s="36" t="n">
        <v>187</v>
      </c>
      <c r="C191" s="37" t="n"/>
      <c r="D191" s="38" t="n"/>
    </row>
    <row r="192">
      <c r="B192" s="36" t="n">
        <v>188</v>
      </c>
      <c r="C192" s="39" t="n"/>
      <c r="D192" s="40" t="n"/>
    </row>
    <row r="193">
      <c r="B193" s="36" t="n">
        <v>189</v>
      </c>
      <c r="C193" s="37" t="n"/>
      <c r="D193" s="38" t="n"/>
    </row>
    <row r="194">
      <c r="B194" s="36" t="n">
        <v>190</v>
      </c>
      <c r="C194" s="39" t="n"/>
      <c r="D194" s="40" t="n"/>
    </row>
    <row r="195">
      <c r="B195" s="36" t="n">
        <v>191</v>
      </c>
      <c r="C195" s="37" t="n"/>
      <c r="D195" s="38" t="n"/>
    </row>
    <row r="196">
      <c r="B196" s="36" t="n">
        <v>192</v>
      </c>
      <c r="C196" s="39" t="n"/>
      <c r="D196" s="40" t="n"/>
    </row>
    <row r="197">
      <c r="B197" s="36" t="n">
        <v>193</v>
      </c>
      <c r="C197" s="37" t="n"/>
      <c r="D197" s="38" t="n"/>
    </row>
    <row r="198">
      <c r="B198" s="36" t="n">
        <v>194</v>
      </c>
      <c r="C198" s="39" t="n"/>
      <c r="D198" s="40" t="n"/>
    </row>
    <row r="199">
      <c r="B199" s="36" t="n">
        <v>195</v>
      </c>
      <c r="C199" s="37" t="n"/>
      <c r="D199" s="38" t="n"/>
    </row>
    <row r="200">
      <c r="B200" s="36" t="n">
        <v>196</v>
      </c>
      <c r="C200" s="39" t="n"/>
      <c r="D200" s="40" t="n"/>
    </row>
    <row r="201">
      <c r="B201" s="36" t="n">
        <v>197</v>
      </c>
      <c r="C201" s="37" t="n"/>
      <c r="D201" s="38" t="n"/>
    </row>
    <row r="202">
      <c r="B202" s="36" t="n">
        <v>198</v>
      </c>
      <c r="C202" s="39" t="n"/>
      <c r="D202" s="40" t="n"/>
    </row>
    <row r="203">
      <c r="B203" s="36" t="n">
        <v>199</v>
      </c>
      <c r="C203" s="37" t="n"/>
      <c r="D203" s="38" t="n"/>
    </row>
    <row r="204">
      <c r="B204" s="36" t="n">
        <v>200</v>
      </c>
      <c r="C204" s="39" t="n"/>
      <c r="D204" s="40" t="n"/>
    </row>
    <row r="205">
      <c r="B205" s="36" t="n">
        <v>201</v>
      </c>
      <c r="C205" s="37" t="n"/>
      <c r="D205" s="38" t="n"/>
    </row>
    <row r="206">
      <c r="B206" s="36" t="n">
        <v>202</v>
      </c>
      <c r="C206" s="39" t="n"/>
      <c r="D206" s="40" t="n"/>
    </row>
    <row r="207">
      <c r="B207" s="36" t="n">
        <v>203</v>
      </c>
      <c r="C207" s="37" t="n"/>
      <c r="D207" s="38" t="n"/>
    </row>
    <row r="208">
      <c r="B208" s="36" t="n">
        <v>204</v>
      </c>
      <c r="C208" s="39" t="n"/>
      <c r="D208" s="40" t="n"/>
    </row>
    <row r="209">
      <c r="B209" s="36" t="n">
        <v>205</v>
      </c>
      <c r="C209" s="37" t="n"/>
      <c r="D209" s="38" t="n"/>
    </row>
    <row r="210">
      <c r="B210" s="36" t="n">
        <v>206</v>
      </c>
      <c r="C210" s="39" t="n"/>
      <c r="D210" s="40" t="n"/>
    </row>
    <row r="211">
      <c r="B211" s="36" t="n">
        <v>207</v>
      </c>
      <c r="C211" s="37" t="n"/>
      <c r="D211" s="38" t="n"/>
    </row>
    <row r="212">
      <c r="B212" s="36" t="n">
        <v>208</v>
      </c>
      <c r="C212" s="39" t="n"/>
      <c r="D212" s="40" t="n"/>
    </row>
    <row r="213">
      <c r="B213" s="36" t="n">
        <v>209</v>
      </c>
      <c r="C213" s="37" t="n"/>
      <c r="D213" s="38" t="n"/>
    </row>
    <row r="214">
      <c r="B214" s="36" t="n">
        <v>210</v>
      </c>
      <c r="C214" s="39" t="n"/>
      <c r="D214" s="40" t="n"/>
    </row>
    <row r="215">
      <c r="B215" s="36" t="n">
        <v>211</v>
      </c>
      <c r="C215" s="37" t="n"/>
      <c r="D215" s="38" t="n"/>
    </row>
    <row r="216">
      <c r="B216" s="36" t="n">
        <v>212</v>
      </c>
      <c r="C216" s="39" t="n"/>
      <c r="D216" s="40" t="n"/>
    </row>
    <row r="217">
      <c r="B217" s="36" t="n">
        <v>213</v>
      </c>
      <c r="C217" s="37" t="n"/>
      <c r="D217" s="38" t="n"/>
    </row>
    <row r="218">
      <c r="B218" s="36" t="n">
        <v>214</v>
      </c>
      <c r="C218" s="39" t="n"/>
      <c r="D218" s="40" t="n"/>
    </row>
    <row r="219">
      <c r="B219" s="36" t="n">
        <v>215</v>
      </c>
      <c r="C219" s="37" t="n"/>
      <c r="D219" s="38" t="n"/>
    </row>
    <row r="220">
      <c r="B220" s="36" t="n">
        <v>216</v>
      </c>
      <c r="C220" s="39" t="n"/>
      <c r="D220" s="40" t="n"/>
    </row>
    <row r="221">
      <c r="B221" s="36" t="n">
        <v>217</v>
      </c>
      <c r="C221" s="37" t="n"/>
      <c r="D221" s="38" t="n"/>
    </row>
    <row r="222">
      <c r="B222" s="36" t="n">
        <v>218</v>
      </c>
      <c r="C222" s="39" t="n"/>
      <c r="D222" s="40" t="n"/>
    </row>
    <row r="223">
      <c r="B223" s="36" t="n">
        <v>219</v>
      </c>
      <c r="C223" s="37" t="n"/>
      <c r="D223" s="38" t="n"/>
    </row>
    <row r="224">
      <c r="B224" s="36" t="n">
        <v>220</v>
      </c>
      <c r="C224" s="39" t="n"/>
      <c r="D224" s="40" t="n"/>
    </row>
    <row r="225">
      <c r="B225" s="36" t="n">
        <v>221</v>
      </c>
      <c r="C225" s="37" t="n"/>
      <c r="D225" s="38" t="n"/>
    </row>
    <row r="226">
      <c r="B226" s="36" t="n">
        <v>222</v>
      </c>
      <c r="C226" s="39" t="n"/>
      <c r="D226" s="40" t="n"/>
    </row>
    <row r="227">
      <c r="B227" s="36" t="n">
        <v>223</v>
      </c>
      <c r="C227" s="37" t="n"/>
      <c r="D227" s="38" t="n"/>
    </row>
    <row r="228">
      <c r="B228" s="36" t="n">
        <v>224</v>
      </c>
      <c r="C228" s="39" t="n"/>
      <c r="D228" s="40" t="n"/>
    </row>
    <row r="229">
      <c r="B229" s="36" t="n">
        <v>225</v>
      </c>
      <c r="C229" s="37" t="n"/>
      <c r="D229" s="38" t="n"/>
    </row>
    <row r="230">
      <c r="B230" s="36" t="n">
        <v>226</v>
      </c>
      <c r="C230" s="39" t="n"/>
      <c r="D230" s="40" t="n"/>
    </row>
    <row r="231">
      <c r="B231" s="36" t="n">
        <v>227</v>
      </c>
      <c r="C231" s="37" t="n"/>
      <c r="D231" s="38" t="n"/>
    </row>
    <row r="232">
      <c r="B232" s="36" t="n">
        <v>228</v>
      </c>
      <c r="C232" s="39" t="n"/>
      <c r="D232" s="40" t="n"/>
    </row>
    <row r="233">
      <c r="B233" s="36" t="n">
        <v>229</v>
      </c>
      <c r="C233" s="37" t="n"/>
      <c r="D233" s="38" t="n"/>
    </row>
    <row r="234">
      <c r="B234" s="36" t="n">
        <v>230</v>
      </c>
      <c r="C234" s="39" t="n"/>
      <c r="D234" s="40" t="n"/>
    </row>
    <row r="235">
      <c r="B235" s="36" t="n">
        <v>231</v>
      </c>
      <c r="C235" s="37" t="n"/>
      <c r="D235" s="38" t="n"/>
    </row>
    <row r="236">
      <c r="B236" s="36" t="n">
        <v>232</v>
      </c>
      <c r="C236" s="39" t="n"/>
      <c r="D236" s="40" t="n"/>
    </row>
    <row r="237">
      <c r="B237" s="36" t="n">
        <v>233</v>
      </c>
      <c r="C237" s="37" t="n"/>
      <c r="D237" s="38" t="n"/>
    </row>
    <row r="238">
      <c r="B238" s="36" t="n">
        <v>234</v>
      </c>
      <c r="C238" s="39" t="n"/>
      <c r="D238" s="40" t="n"/>
    </row>
    <row r="239">
      <c r="B239" s="36" t="n">
        <v>235</v>
      </c>
      <c r="C239" s="37" t="n"/>
      <c r="D239" s="38" t="n"/>
    </row>
    <row r="240">
      <c r="B240" s="36" t="n">
        <v>236</v>
      </c>
      <c r="C240" s="39" t="n"/>
      <c r="D240" s="40" t="n"/>
    </row>
    <row r="241">
      <c r="B241" s="36" t="n">
        <v>237</v>
      </c>
      <c r="C241" s="37" t="n"/>
      <c r="D241" s="38" t="n"/>
    </row>
    <row r="242">
      <c r="B242" s="36" t="n">
        <v>238</v>
      </c>
      <c r="C242" s="39" t="n"/>
      <c r="D242" s="40" t="n"/>
    </row>
    <row r="243">
      <c r="B243" s="36" t="n">
        <v>239</v>
      </c>
      <c r="C243" s="37" t="n"/>
      <c r="D243" s="38" t="n"/>
    </row>
    <row r="244">
      <c r="B244" s="36" t="n">
        <v>240</v>
      </c>
      <c r="C244" s="39" t="n"/>
      <c r="D244" s="40" t="n"/>
    </row>
    <row r="245">
      <c r="B245" s="36" t="n">
        <v>241</v>
      </c>
      <c r="C245" s="37" t="n"/>
      <c r="D245" s="38" t="n"/>
    </row>
    <row r="246">
      <c r="B246" s="36" t="n">
        <v>242</v>
      </c>
      <c r="C246" s="39" t="n"/>
      <c r="D246" s="40" t="n"/>
    </row>
    <row r="247">
      <c r="B247" s="36" t="n">
        <v>243</v>
      </c>
      <c r="C247" s="37" t="n"/>
      <c r="D247" s="38" t="n"/>
    </row>
    <row r="248">
      <c r="B248" s="36" t="n">
        <v>244</v>
      </c>
      <c r="C248" s="39" t="n"/>
      <c r="D248" s="40" t="n"/>
    </row>
    <row r="249">
      <c r="B249" s="36" t="n">
        <v>245</v>
      </c>
      <c r="C249" s="37" t="n"/>
      <c r="D249" s="38" t="n"/>
    </row>
    <row r="250">
      <c r="B250" s="36" t="n">
        <v>246</v>
      </c>
      <c r="C250" s="39" t="n"/>
      <c r="D250" s="40" t="n"/>
    </row>
    <row r="251">
      <c r="B251" s="36" t="n">
        <v>247</v>
      </c>
      <c r="C251" s="37" t="n"/>
      <c r="D251" s="38" t="n"/>
    </row>
    <row r="252">
      <c r="B252" s="36" t="n">
        <v>248</v>
      </c>
      <c r="C252" s="39" t="n"/>
      <c r="D252" s="40" t="n"/>
    </row>
    <row r="253">
      <c r="B253" s="36" t="n">
        <v>249</v>
      </c>
      <c r="C253" s="37" t="n"/>
      <c r="D253" s="38" t="n"/>
    </row>
    <row r="254">
      <c r="B254" s="36" t="n">
        <v>250</v>
      </c>
      <c r="C254" s="39" t="n"/>
      <c r="D254" s="40" t="n"/>
    </row>
    <row r="255">
      <c r="B255" s="36" t="n">
        <v>251</v>
      </c>
      <c r="C255" s="37" t="n"/>
      <c r="D255" s="38" t="n"/>
    </row>
    <row r="256">
      <c r="B256" s="36" t="n">
        <v>252</v>
      </c>
      <c r="C256" s="39" t="n"/>
      <c r="D256" s="40" t="n"/>
    </row>
    <row r="257">
      <c r="B257" s="36" t="n">
        <v>253</v>
      </c>
      <c r="C257" s="37" t="n"/>
      <c r="D257" s="38" t="n"/>
    </row>
    <row r="258">
      <c r="B258" s="36" t="n">
        <v>254</v>
      </c>
      <c r="C258" s="39" t="n"/>
      <c r="D258" s="40" t="n"/>
    </row>
    <row r="259">
      <c r="B259" s="36" t="n">
        <v>255</v>
      </c>
      <c r="C259" s="37" t="n"/>
      <c r="D259" s="38" t="n"/>
    </row>
    <row r="260">
      <c r="B260" s="36" t="n">
        <v>256</v>
      </c>
      <c r="C260" s="39" t="n"/>
      <c r="D260" s="40" t="n"/>
    </row>
    <row r="261">
      <c r="B261" s="36" t="n">
        <v>257</v>
      </c>
      <c r="C261" s="37" t="n"/>
      <c r="D261" s="38" t="n"/>
    </row>
    <row r="262">
      <c r="B262" s="36" t="n">
        <v>258</v>
      </c>
      <c r="C262" s="39" t="n"/>
      <c r="D262" s="40" t="n"/>
    </row>
    <row r="263">
      <c r="B263" s="36" t="n">
        <v>259</v>
      </c>
      <c r="C263" s="37" t="n"/>
      <c r="D263" s="38" t="n"/>
    </row>
    <row r="264">
      <c r="B264" s="36" t="n">
        <v>260</v>
      </c>
      <c r="C264" s="39" t="n"/>
      <c r="D264" s="40" t="n"/>
    </row>
    <row r="265">
      <c r="B265" s="36" t="n">
        <v>261</v>
      </c>
      <c r="C265" s="37" t="n"/>
      <c r="D265" s="38" t="n"/>
    </row>
    <row r="266">
      <c r="B266" s="36" t="n">
        <v>262</v>
      </c>
      <c r="C266" s="39" t="n"/>
      <c r="D266" s="40" t="n"/>
    </row>
    <row r="267">
      <c r="B267" s="36" t="n">
        <v>263</v>
      </c>
      <c r="C267" s="37" t="n"/>
      <c r="D267" s="38" t="n"/>
    </row>
    <row r="268">
      <c r="B268" s="36" t="n">
        <v>264</v>
      </c>
      <c r="C268" s="39" t="n"/>
      <c r="D268" s="40" t="n"/>
    </row>
    <row r="269">
      <c r="B269" s="36" t="n">
        <v>265</v>
      </c>
      <c r="C269" s="37" t="n"/>
      <c r="D269" s="38" t="n"/>
    </row>
    <row r="270">
      <c r="B270" s="36" t="n">
        <v>266</v>
      </c>
      <c r="C270" s="39" t="n"/>
      <c r="D270" s="40" t="n"/>
    </row>
    <row r="271">
      <c r="B271" s="36" t="n">
        <v>267</v>
      </c>
      <c r="C271" s="37" t="n"/>
      <c r="D271" s="38" t="n"/>
    </row>
    <row r="272">
      <c r="B272" s="36" t="n">
        <v>268</v>
      </c>
      <c r="C272" s="39" t="n"/>
      <c r="D272" s="40" t="n"/>
    </row>
    <row r="273">
      <c r="B273" s="36" t="n">
        <v>269</v>
      </c>
      <c r="C273" s="37" t="n"/>
      <c r="D273" s="38" t="n"/>
    </row>
    <row r="274">
      <c r="B274" s="36" t="n">
        <v>270</v>
      </c>
      <c r="C274" s="39" t="n"/>
      <c r="D274" s="40" t="n"/>
    </row>
    <row r="275">
      <c r="B275" s="36" t="n">
        <v>271</v>
      </c>
      <c r="C275" s="37" t="n"/>
      <c r="D275" s="38" t="n"/>
    </row>
    <row r="276">
      <c r="B276" s="36" t="n">
        <v>272</v>
      </c>
      <c r="C276" s="39" t="n"/>
      <c r="D276" s="40" t="n"/>
    </row>
    <row r="277">
      <c r="B277" s="36" t="n">
        <v>273</v>
      </c>
      <c r="C277" s="37" t="n"/>
      <c r="D277" s="38" t="n"/>
    </row>
    <row r="278">
      <c r="B278" s="36" t="n">
        <v>274</v>
      </c>
      <c r="C278" s="39" t="n"/>
      <c r="D278" s="40" t="n"/>
    </row>
    <row r="279">
      <c r="B279" s="36" t="n">
        <v>275</v>
      </c>
      <c r="C279" s="37" t="n"/>
      <c r="D279" s="38" t="n"/>
    </row>
    <row r="280">
      <c r="B280" s="36" t="n">
        <v>276</v>
      </c>
      <c r="C280" s="39" t="n"/>
      <c r="D280" s="40" t="n"/>
    </row>
    <row r="281">
      <c r="B281" s="36" t="n">
        <v>277</v>
      </c>
      <c r="C281" s="37" t="n"/>
      <c r="D281" s="38" t="n"/>
    </row>
    <row r="282">
      <c r="B282" s="36" t="n">
        <v>278</v>
      </c>
      <c r="C282" s="39" t="n"/>
      <c r="D282" s="40" t="n"/>
    </row>
    <row r="283">
      <c r="B283" s="36" t="n">
        <v>279</v>
      </c>
      <c r="C283" s="37" t="n"/>
      <c r="D283" s="38" t="n"/>
    </row>
    <row r="284">
      <c r="B284" s="36" t="n">
        <v>280</v>
      </c>
      <c r="C284" s="39" t="n"/>
      <c r="D284" s="40" t="n"/>
    </row>
    <row r="285">
      <c r="B285" s="36" t="n">
        <v>281</v>
      </c>
      <c r="C285" s="37" t="n"/>
      <c r="D285" s="38" t="n"/>
    </row>
    <row r="286">
      <c r="B286" s="36" t="n">
        <v>282</v>
      </c>
      <c r="C286" s="39" t="n"/>
      <c r="D286" s="40" t="n"/>
    </row>
    <row r="287">
      <c r="B287" s="36" t="n">
        <v>283</v>
      </c>
      <c r="C287" s="37" t="n"/>
      <c r="D287" s="38" t="n"/>
    </row>
    <row r="288">
      <c r="B288" s="36" t="n">
        <v>284</v>
      </c>
      <c r="C288" s="39" t="n"/>
      <c r="D288" s="40" t="n"/>
    </row>
    <row r="289">
      <c r="B289" s="36" t="n">
        <v>285</v>
      </c>
      <c r="C289" s="37" t="n"/>
      <c r="D289" s="38" t="n"/>
    </row>
    <row r="290">
      <c r="B290" s="36" t="n">
        <v>286</v>
      </c>
      <c r="C290" s="39" t="n"/>
      <c r="D290" s="40" t="n"/>
    </row>
    <row r="291">
      <c r="B291" s="36" t="n">
        <v>287</v>
      </c>
      <c r="C291" s="37" t="n"/>
      <c r="D291" s="38" t="n"/>
    </row>
    <row r="292">
      <c r="B292" s="36" t="n">
        <v>288</v>
      </c>
      <c r="C292" s="39" t="n"/>
      <c r="D292" s="40" t="n"/>
    </row>
    <row r="293">
      <c r="B293" s="36" t="n">
        <v>289</v>
      </c>
      <c r="C293" s="37" t="n"/>
      <c r="D293" s="38" t="n"/>
    </row>
    <row r="294">
      <c r="B294" s="36" t="n">
        <v>290</v>
      </c>
      <c r="C294" s="39" t="n"/>
      <c r="D294" s="40" t="n"/>
    </row>
    <row r="295">
      <c r="B295" s="36" t="n">
        <v>291</v>
      </c>
      <c r="C295" s="37" t="n"/>
      <c r="D295" s="38" t="n"/>
    </row>
    <row r="296">
      <c r="B296" s="36" t="n">
        <v>292</v>
      </c>
      <c r="C296" s="39" t="n"/>
      <c r="D296" s="40" t="n"/>
    </row>
    <row r="297">
      <c r="B297" s="36" t="n">
        <v>293</v>
      </c>
      <c r="C297" s="37" t="n"/>
      <c r="D297" s="38" t="n"/>
    </row>
    <row r="298">
      <c r="B298" s="36" t="n">
        <v>294</v>
      </c>
      <c r="C298" s="39" t="n"/>
      <c r="D298" s="40" t="n"/>
    </row>
    <row r="299">
      <c r="B299" s="36" t="n">
        <v>295</v>
      </c>
      <c r="C299" s="37" t="n"/>
      <c r="D299" s="38" t="n"/>
    </row>
    <row r="300">
      <c r="B300" s="36" t="n">
        <v>296</v>
      </c>
      <c r="C300" s="39" t="n"/>
      <c r="D300" s="40" t="n"/>
    </row>
    <row r="301">
      <c r="B301" s="36" t="n">
        <v>297</v>
      </c>
      <c r="C301" s="37" t="n"/>
      <c r="D301" s="38" t="n"/>
    </row>
    <row r="302">
      <c r="B302" s="36" t="n">
        <v>298</v>
      </c>
      <c r="C302" s="39" t="n"/>
      <c r="D302" s="40" t="n"/>
    </row>
    <row r="303">
      <c r="B303" s="36" t="n">
        <v>299</v>
      </c>
      <c r="C303" s="37" t="n"/>
      <c r="D303" s="38" t="n"/>
    </row>
    <row r="304">
      <c r="B304" s="36" t="n">
        <v>300</v>
      </c>
      <c r="C304" s="39" t="n"/>
      <c r="D304" s="40" t="n"/>
    </row>
    <row r="305">
      <c r="B305" s="36" t="n">
        <v>301</v>
      </c>
      <c r="C305" s="37" t="n"/>
      <c r="D305" s="38" t="n"/>
    </row>
    <row r="306">
      <c r="B306" s="36" t="n">
        <v>302</v>
      </c>
      <c r="C306" s="39" t="n"/>
      <c r="D306" s="40" t="n"/>
    </row>
    <row r="307">
      <c r="B307" s="36" t="n">
        <v>303</v>
      </c>
      <c r="C307" s="37" t="n"/>
      <c r="D307" s="38" t="n"/>
    </row>
    <row r="308">
      <c r="B308" s="36" t="n">
        <v>304</v>
      </c>
      <c r="C308" s="39" t="n"/>
      <c r="D308" s="40" t="n"/>
    </row>
    <row r="309">
      <c r="B309" s="36" t="n">
        <v>305</v>
      </c>
      <c r="C309" s="37" t="n"/>
      <c r="D309" s="38" t="n"/>
    </row>
    <row r="310">
      <c r="B310" s="36" t="n">
        <v>306</v>
      </c>
      <c r="C310" s="39" t="n"/>
      <c r="D310" s="40" t="n"/>
    </row>
    <row r="311">
      <c r="B311" s="36" t="n">
        <v>307</v>
      </c>
      <c r="C311" s="37" t="n"/>
      <c r="D311" s="38" t="n"/>
    </row>
    <row r="312">
      <c r="B312" s="36" t="n">
        <v>308</v>
      </c>
      <c r="C312" s="39" t="n"/>
      <c r="D312" s="40" t="n"/>
    </row>
    <row r="313">
      <c r="B313" s="36" t="n">
        <v>309</v>
      </c>
      <c r="C313" s="37" t="n"/>
      <c r="D313" s="38" t="n"/>
    </row>
    <row r="314">
      <c r="B314" s="36" t="n">
        <v>310</v>
      </c>
      <c r="C314" s="39" t="n"/>
      <c r="D314" s="40" t="n"/>
    </row>
    <row r="315">
      <c r="B315" s="36" t="n">
        <v>311</v>
      </c>
      <c r="C315" s="37" t="n"/>
      <c r="D315" s="38" t="n"/>
    </row>
    <row r="316">
      <c r="B316" s="36" t="n">
        <v>312</v>
      </c>
      <c r="C316" s="39" t="n"/>
      <c r="D316" s="40" t="n"/>
    </row>
    <row r="317">
      <c r="B317" s="36" t="n">
        <v>313</v>
      </c>
      <c r="C317" s="37" t="n"/>
      <c r="D317" s="38" t="n"/>
    </row>
    <row r="318">
      <c r="B318" s="36" t="n">
        <v>314</v>
      </c>
      <c r="C318" s="39" t="n"/>
      <c r="D318" s="40" t="n"/>
    </row>
    <row r="319">
      <c r="B319" s="36" t="n">
        <v>315</v>
      </c>
      <c r="C319" s="37" t="n"/>
      <c r="D319" s="38" t="n"/>
    </row>
    <row r="320">
      <c r="B320" s="36" t="n">
        <v>316</v>
      </c>
      <c r="C320" s="39" t="n"/>
      <c r="D320" s="40" t="n"/>
    </row>
    <row r="321">
      <c r="B321" s="36" t="n">
        <v>317</v>
      </c>
      <c r="C321" s="37" t="n"/>
      <c r="D321" s="38" t="n"/>
    </row>
    <row r="322">
      <c r="B322" s="36" t="n">
        <v>318</v>
      </c>
      <c r="C322" s="39" t="n"/>
      <c r="D322" s="40" t="n"/>
    </row>
    <row r="323">
      <c r="B323" s="36" t="n">
        <v>319</v>
      </c>
      <c r="C323" s="37" t="n"/>
      <c r="D323" s="38" t="n"/>
    </row>
    <row r="324">
      <c r="B324" s="36" t="n">
        <v>320</v>
      </c>
      <c r="C324" s="39" t="n"/>
      <c r="D324" s="40" t="n"/>
    </row>
    <row r="325">
      <c r="B325" s="36" t="n">
        <v>321</v>
      </c>
      <c r="C325" s="37" t="n"/>
      <c r="D325" s="38" t="n"/>
    </row>
    <row r="326">
      <c r="B326" s="36" t="n">
        <v>322</v>
      </c>
      <c r="C326" s="39" t="n"/>
      <c r="D326" s="40" t="n"/>
    </row>
    <row r="327">
      <c r="B327" s="36" t="n">
        <v>323</v>
      </c>
      <c r="C327" s="37" t="n"/>
      <c r="D327" s="38" t="n"/>
    </row>
    <row r="328">
      <c r="B328" s="36" t="n">
        <v>324</v>
      </c>
      <c r="C328" s="39" t="n"/>
      <c r="D328" s="40" t="n"/>
    </row>
    <row r="329">
      <c r="B329" s="36" t="n">
        <v>325</v>
      </c>
      <c r="C329" s="37" t="n"/>
      <c r="D329" s="38" t="n"/>
    </row>
    <row r="330">
      <c r="B330" s="36" t="n">
        <v>326</v>
      </c>
      <c r="C330" s="39" t="n"/>
      <c r="D330" s="40" t="n"/>
    </row>
    <row r="331">
      <c r="B331" s="36" t="n">
        <v>327</v>
      </c>
      <c r="C331" s="37" t="n"/>
      <c r="D331" s="38" t="n"/>
    </row>
    <row r="332">
      <c r="B332" s="36" t="n">
        <v>328</v>
      </c>
      <c r="C332" s="39" t="n"/>
      <c r="D332" s="40" t="n"/>
    </row>
    <row r="333">
      <c r="B333" s="36" t="n">
        <v>329</v>
      </c>
      <c r="C333" s="37" t="n"/>
      <c r="D333" s="38" t="n"/>
    </row>
    <row r="334">
      <c r="B334" s="36" t="n">
        <v>330</v>
      </c>
      <c r="C334" s="39" t="n"/>
      <c r="D334" s="40" t="n"/>
    </row>
    <row r="335">
      <c r="B335" s="36" t="n">
        <v>331</v>
      </c>
      <c r="C335" s="37" t="n"/>
      <c r="D335" s="38" t="n"/>
    </row>
    <row r="336">
      <c r="B336" s="36" t="n">
        <v>332</v>
      </c>
      <c r="C336" s="39" t="n"/>
      <c r="D336" s="40" t="n"/>
    </row>
    <row r="337">
      <c r="B337" s="36" t="n">
        <v>333</v>
      </c>
      <c r="C337" s="37" t="n"/>
      <c r="D337" s="38" t="n"/>
    </row>
    <row r="338">
      <c r="B338" s="36" t="n">
        <v>334</v>
      </c>
      <c r="C338" s="39" t="n"/>
      <c r="D338" s="40" t="n"/>
    </row>
    <row r="339">
      <c r="B339" s="36" t="n">
        <v>335</v>
      </c>
      <c r="C339" s="37" t="n"/>
      <c r="D339" s="38" t="n"/>
    </row>
    <row r="340">
      <c r="B340" s="36" t="n">
        <v>336</v>
      </c>
      <c r="C340" s="39" t="n"/>
      <c r="D340" s="40" t="n"/>
    </row>
    <row r="341">
      <c r="B341" s="36" t="n">
        <v>337</v>
      </c>
      <c r="C341" s="37" t="n"/>
      <c r="D341" s="38" t="n"/>
    </row>
    <row r="342">
      <c r="B342" s="36" t="n">
        <v>338</v>
      </c>
      <c r="C342" s="39" t="n"/>
      <c r="D342" s="40" t="n"/>
    </row>
    <row r="343">
      <c r="B343" s="36" t="n">
        <v>339</v>
      </c>
      <c r="C343" s="37" t="n"/>
      <c r="D343" s="38" t="n"/>
    </row>
    <row r="344">
      <c r="B344" s="36" t="n">
        <v>340</v>
      </c>
      <c r="C344" s="39" t="n"/>
      <c r="D344" s="40" t="n"/>
    </row>
    <row r="345">
      <c r="B345" s="36" t="n">
        <v>341</v>
      </c>
      <c r="C345" s="37" t="n"/>
      <c r="D345" s="38" t="n"/>
    </row>
    <row r="346">
      <c r="B346" s="36" t="n">
        <v>342</v>
      </c>
      <c r="C346" s="39" t="n"/>
      <c r="D346" s="40" t="n"/>
    </row>
    <row r="347">
      <c r="B347" s="36" t="n">
        <v>343</v>
      </c>
      <c r="C347" s="37" t="n"/>
      <c r="D347" s="38" t="n"/>
    </row>
    <row r="348">
      <c r="B348" s="36" t="n">
        <v>344</v>
      </c>
      <c r="C348" s="39" t="n"/>
      <c r="D348" s="40" t="n"/>
    </row>
    <row r="349">
      <c r="B349" s="36" t="n">
        <v>345</v>
      </c>
      <c r="C349" s="37" t="n"/>
      <c r="D349" s="38" t="n"/>
    </row>
    <row r="350">
      <c r="B350" s="36" t="n">
        <v>346</v>
      </c>
      <c r="C350" s="39" t="n"/>
      <c r="D350" s="40" t="n"/>
    </row>
    <row r="351">
      <c r="B351" s="36" t="n">
        <v>347</v>
      </c>
      <c r="C351" s="37" t="n"/>
      <c r="D351" s="38" t="n"/>
    </row>
    <row r="352">
      <c r="B352" s="36" t="n">
        <v>348</v>
      </c>
      <c r="C352" s="39" t="n"/>
      <c r="D352" s="40" t="n"/>
    </row>
    <row r="353">
      <c r="B353" s="36" t="n">
        <v>349</v>
      </c>
      <c r="C353" s="37" t="n"/>
      <c r="D353" s="38" t="n"/>
    </row>
    <row r="354">
      <c r="B354" s="36" t="n">
        <v>350</v>
      </c>
      <c r="C354" s="39" t="n"/>
      <c r="D354" s="40" t="n"/>
    </row>
    <row r="355">
      <c r="B355" s="36" t="n">
        <v>351</v>
      </c>
      <c r="C355" s="37" t="n"/>
      <c r="D355" s="38" t="n"/>
    </row>
    <row r="356">
      <c r="B356" s="36" t="n">
        <v>352</v>
      </c>
      <c r="C356" s="39" t="n"/>
      <c r="D356" s="40" t="n"/>
    </row>
    <row r="357">
      <c r="B357" s="36" t="n">
        <v>353</v>
      </c>
      <c r="C357" s="37" t="n"/>
      <c r="D357" s="38" t="n"/>
    </row>
    <row r="358">
      <c r="B358" s="36" t="n">
        <v>354</v>
      </c>
      <c r="C358" s="39" t="n"/>
      <c r="D358" s="40" t="n"/>
    </row>
    <row r="359">
      <c r="B359" s="36" t="n">
        <v>355</v>
      </c>
      <c r="C359" s="37" t="n"/>
      <c r="D359" s="38" t="n"/>
    </row>
    <row r="360">
      <c r="B360" s="36" t="n">
        <v>356</v>
      </c>
      <c r="C360" s="39" t="n"/>
      <c r="D360" s="40" t="n"/>
    </row>
    <row r="361">
      <c r="B361" s="36" t="n">
        <v>357</v>
      </c>
      <c r="C361" s="37" t="n"/>
      <c r="D361" s="38" t="n"/>
    </row>
    <row r="362">
      <c r="B362" s="36" t="n">
        <v>358</v>
      </c>
      <c r="C362" s="39" t="n"/>
      <c r="D362" s="40" t="n"/>
    </row>
    <row r="363">
      <c r="B363" s="36" t="n">
        <v>359</v>
      </c>
      <c r="C363" s="37" t="n"/>
      <c r="D363" s="38" t="n"/>
    </row>
    <row r="364">
      <c r="B364" s="36" t="n">
        <v>360</v>
      </c>
      <c r="C364" s="39" t="n"/>
      <c r="D364" s="40" t="n"/>
    </row>
    <row r="365">
      <c r="B365" s="36" t="n">
        <v>361</v>
      </c>
      <c r="C365" s="37" t="n"/>
      <c r="D365" s="38" t="n"/>
    </row>
    <row r="366">
      <c r="B366" s="36" t="n">
        <v>362</v>
      </c>
      <c r="C366" s="39" t="n"/>
      <c r="D366" s="40" t="n"/>
    </row>
    <row r="367">
      <c r="B367" s="36" t="n">
        <v>363</v>
      </c>
      <c r="C367" s="37" t="n"/>
      <c r="D367" s="38" t="n"/>
    </row>
    <row r="368">
      <c r="B368" s="36" t="n">
        <v>364</v>
      </c>
      <c r="C368" s="39" t="n"/>
      <c r="D368" s="40" t="n"/>
    </row>
    <row r="369">
      <c r="B369" s="36" t="n">
        <v>365</v>
      </c>
      <c r="C369" s="37" t="n"/>
      <c r="D369" s="38" t="n"/>
    </row>
    <row r="370">
      <c r="B370" s="36" t="n">
        <v>366</v>
      </c>
      <c r="C370" s="39" t="n"/>
      <c r="D370" s="40" t="n"/>
    </row>
    <row r="371">
      <c r="B371" s="36" t="n">
        <v>367</v>
      </c>
      <c r="C371" s="37" t="n"/>
      <c r="D371" s="38" t="n"/>
    </row>
    <row r="372">
      <c r="B372" s="36" t="n">
        <v>368</v>
      </c>
      <c r="C372" s="39" t="n"/>
      <c r="D372" s="40" t="n"/>
    </row>
    <row r="373">
      <c r="B373" s="36" t="n">
        <v>369</v>
      </c>
      <c r="C373" s="37" t="n"/>
      <c r="D373" s="38" t="n"/>
    </row>
    <row r="374">
      <c r="B374" s="36" t="n">
        <v>370</v>
      </c>
      <c r="C374" s="39" t="n"/>
      <c r="D374" s="40" t="n"/>
    </row>
    <row r="375">
      <c r="B375" s="36" t="n">
        <v>371</v>
      </c>
      <c r="C375" s="37" t="n"/>
      <c r="D375" s="38" t="n"/>
    </row>
    <row r="376">
      <c r="B376" s="36" t="n">
        <v>372</v>
      </c>
      <c r="C376" s="39" t="n"/>
      <c r="D376" s="40" t="n"/>
    </row>
    <row r="377">
      <c r="B377" s="36" t="n">
        <v>373</v>
      </c>
      <c r="C377" s="37" t="n"/>
      <c r="D377" s="38" t="n"/>
    </row>
    <row r="378">
      <c r="B378" s="36" t="n">
        <v>374</v>
      </c>
      <c r="C378" s="39" t="n"/>
      <c r="D378" s="40" t="n"/>
    </row>
    <row r="379">
      <c r="B379" s="36" t="n">
        <v>375</v>
      </c>
      <c r="C379" s="37" t="n"/>
      <c r="D379" s="38" t="n"/>
    </row>
    <row r="380">
      <c r="B380" s="36" t="n">
        <v>376</v>
      </c>
      <c r="C380" s="39" t="n"/>
      <c r="D380" s="40" t="n"/>
    </row>
    <row r="381">
      <c r="B381" s="36" t="n">
        <v>377</v>
      </c>
      <c r="C381" s="37" t="n"/>
      <c r="D381" s="38" t="n"/>
    </row>
    <row r="382">
      <c r="B382" s="36" t="n">
        <v>378</v>
      </c>
      <c r="C382" s="39" t="n"/>
      <c r="D382" s="40" t="n"/>
    </row>
    <row r="383">
      <c r="B383" s="36" t="n">
        <v>379</v>
      </c>
      <c r="C383" s="37" t="n"/>
      <c r="D383" s="38" t="n"/>
    </row>
    <row r="384">
      <c r="B384" s="36" t="n">
        <v>380</v>
      </c>
      <c r="C384" s="39" t="n"/>
      <c r="D384" s="40" t="n"/>
    </row>
    <row r="385">
      <c r="B385" s="36" t="n">
        <v>381</v>
      </c>
      <c r="C385" s="37" t="n"/>
      <c r="D385" s="38" t="n"/>
    </row>
    <row r="386">
      <c r="B386" s="36" t="n">
        <v>382</v>
      </c>
      <c r="C386" s="39" t="n"/>
      <c r="D386" s="40" t="n"/>
    </row>
    <row r="387">
      <c r="B387" s="36" t="n">
        <v>383</v>
      </c>
      <c r="C387" s="37" t="n"/>
      <c r="D387" s="38" t="n"/>
    </row>
    <row r="388">
      <c r="B388" s="36" t="n">
        <v>384</v>
      </c>
      <c r="C388" s="39" t="n"/>
      <c r="D388" s="40" t="n"/>
    </row>
    <row r="389">
      <c r="B389" s="36" t="n">
        <v>385</v>
      </c>
      <c r="C389" s="37" t="n"/>
      <c r="D389" s="38" t="n"/>
    </row>
    <row r="390">
      <c r="B390" s="36" t="n">
        <v>386</v>
      </c>
      <c r="C390" s="39" t="n"/>
      <c r="D390" s="40" t="n"/>
    </row>
    <row r="391">
      <c r="B391" s="36" t="n">
        <v>387</v>
      </c>
      <c r="C391" s="37" t="n"/>
      <c r="D391" s="38" t="n"/>
    </row>
    <row r="392">
      <c r="B392" s="36" t="n">
        <v>388</v>
      </c>
      <c r="C392" s="39" t="n"/>
      <c r="D392" s="40" t="n"/>
    </row>
    <row r="393">
      <c r="B393" s="36" t="n">
        <v>389</v>
      </c>
      <c r="C393" s="37" t="n"/>
      <c r="D393" s="38" t="n"/>
    </row>
    <row r="394">
      <c r="B394" s="36" t="n">
        <v>390</v>
      </c>
      <c r="C394" s="39" t="n"/>
      <c r="D394" s="40" t="n"/>
    </row>
    <row r="395">
      <c r="B395" s="36" t="n">
        <v>391</v>
      </c>
      <c r="C395" s="37" t="n"/>
      <c r="D395" s="38" t="n"/>
    </row>
    <row r="396">
      <c r="B396" s="36" t="n">
        <v>392</v>
      </c>
      <c r="C396" s="39" t="n"/>
      <c r="D396" s="40" t="n"/>
    </row>
    <row r="397">
      <c r="B397" s="36" t="n">
        <v>393</v>
      </c>
      <c r="C397" s="37" t="n"/>
      <c r="D397" s="38" t="n"/>
    </row>
    <row r="398">
      <c r="B398" s="36" t="n">
        <v>394</v>
      </c>
      <c r="C398" s="39" t="n"/>
      <c r="D398" s="40" t="n"/>
    </row>
    <row r="399">
      <c r="B399" s="36" t="n">
        <v>395</v>
      </c>
      <c r="C399" s="37" t="n"/>
      <c r="D399" s="38" t="n"/>
    </row>
    <row r="400">
      <c r="B400" s="36" t="n">
        <v>396</v>
      </c>
      <c r="C400" s="39" t="n"/>
      <c r="D400" s="40" t="n"/>
    </row>
    <row r="401">
      <c r="B401" s="36" t="n">
        <v>397</v>
      </c>
      <c r="C401" s="37" t="n"/>
      <c r="D401" s="38" t="n"/>
    </row>
    <row r="402">
      <c r="B402" s="36" t="n">
        <v>398</v>
      </c>
      <c r="C402" s="39" t="n"/>
      <c r="D402" s="40" t="n"/>
    </row>
    <row r="403">
      <c r="B403" s="36" t="n">
        <v>399</v>
      </c>
      <c r="C403" s="37" t="n"/>
      <c r="D403" s="38" t="n"/>
    </row>
    <row r="404">
      <c r="B404" s="36" t="n">
        <v>400</v>
      </c>
      <c r="C404" s="39" t="n"/>
      <c r="D404" s="40" t="n"/>
    </row>
    <row r="405">
      <c r="B405" s="36" t="n">
        <v>401</v>
      </c>
      <c r="C405" s="37" t="n"/>
      <c r="D405" s="38" t="n"/>
    </row>
    <row r="406">
      <c r="B406" s="36" t="n">
        <v>402</v>
      </c>
      <c r="C406" s="39" t="n"/>
      <c r="D406" s="40" t="n"/>
    </row>
    <row r="407">
      <c r="B407" s="36" t="n">
        <v>403</v>
      </c>
      <c r="C407" s="37" t="n"/>
      <c r="D407" s="38" t="n"/>
    </row>
    <row r="408">
      <c r="B408" s="36" t="n">
        <v>404</v>
      </c>
      <c r="C408" s="39" t="n"/>
      <c r="D408" s="40" t="n"/>
    </row>
    <row r="409">
      <c r="B409" s="36" t="n">
        <v>405</v>
      </c>
      <c r="C409" s="37" t="n"/>
      <c r="D409" s="38" t="n"/>
    </row>
    <row r="410">
      <c r="B410" s="36" t="n">
        <v>406</v>
      </c>
      <c r="C410" s="39" t="n"/>
      <c r="D410" s="40" t="n"/>
    </row>
    <row r="411">
      <c r="B411" s="36" t="n">
        <v>407</v>
      </c>
      <c r="C411" s="37" t="n"/>
      <c r="D411" s="38" t="n"/>
    </row>
    <row r="412">
      <c r="B412" s="36" t="n">
        <v>408</v>
      </c>
      <c r="C412" s="39" t="n"/>
      <c r="D412" s="40" t="n"/>
    </row>
    <row r="413">
      <c r="B413" s="36" t="n">
        <v>409</v>
      </c>
      <c r="C413" s="37" t="n"/>
      <c r="D413" s="38" t="n"/>
    </row>
    <row r="414">
      <c r="B414" s="36" t="n">
        <v>410</v>
      </c>
      <c r="C414" s="39" t="n"/>
      <c r="D414" s="40" t="n"/>
    </row>
    <row r="415">
      <c r="B415" s="36" t="n">
        <v>411</v>
      </c>
      <c r="C415" s="37" t="n"/>
      <c r="D415" s="38" t="n"/>
    </row>
    <row r="416">
      <c r="B416" s="36" t="n">
        <v>412</v>
      </c>
      <c r="C416" s="39" t="n"/>
      <c r="D416" s="40" t="n"/>
    </row>
    <row r="417">
      <c r="B417" s="36" t="n">
        <v>413</v>
      </c>
      <c r="C417" s="37" t="n"/>
      <c r="D417" s="38" t="n"/>
    </row>
    <row r="418">
      <c r="B418" s="36" t="n">
        <v>414</v>
      </c>
      <c r="C418" s="39" t="n"/>
      <c r="D418" s="40" t="n"/>
    </row>
    <row r="419">
      <c r="B419" s="36" t="n">
        <v>415</v>
      </c>
      <c r="C419" s="37" t="n"/>
      <c r="D419" s="38" t="n"/>
    </row>
    <row r="420">
      <c r="B420" s="36" t="n">
        <v>416</v>
      </c>
      <c r="C420" s="39" t="n"/>
      <c r="D420" s="40" t="n"/>
    </row>
    <row r="421">
      <c r="B421" s="36" t="n">
        <v>417</v>
      </c>
      <c r="C421" s="37" t="n"/>
      <c r="D421" s="38" t="n"/>
    </row>
    <row r="422">
      <c r="B422" s="36" t="n">
        <v>418</v>
      </c>
      <c r="C422" s="39" t="n"/>
      <c r="D422" s="40" t="n"/>
    </row>
    <row r="423">
      <c r="B423" s="36" t="n">
        <v>419</v>
      </c>
      <c r="C423" s="37" t="n"/>
      <c r="D423" s="38" t="n"/>
    </row>
    <row r="424">
      <c r="B424" s="36" t="n">
        <v>420</v>
      </c>
      <c r="C424" s="39" t="n"/>
      <c r="D424" s="40" t="n"/>
    </row>
    <row r="425">
      <c r="B425" s="36" t="n">
        <v>421</v>
      </c>
      <c r="C425" s="37" t="n"/>
      <c r="D425" s="38" t="n"/>
    </row>
    <row r="426">
      <c r="B426" s="36" t="n">
        <v>422</v>
      </c>
      <c r="C426" s="39" t="n"/>
      <c r="D426" s="40" t="n"/>
    </row>
    <row r="427">
      <c r="B427" s="36" t="n">
        <v>423</v>
      </c>
      <c r="C427" s="37" t="n"/>
      <c r="D427" s="38" t="n"/>
    </row>
    <row r="428">
      <c r="B428" s="36" t="n">
        <v>424</v>
      </c>
      <c r="C428" s="39" t="n"/>
      <c r="D428" s="40" t="n"/>
    </row>
    <row r="429">
      <c r="B429" s="36" t="n">
        <v>425</v>
      </c>
      <c r="C429" s="37" t="n"/>
      <c r="D429" s="38" t="n"/>
    </row>
    <row r="430">
      <c r="B430" s="36" t="n">
        <v>426</v>
      </c>
      <c r="C430" s="39" t="n"/>
      <c r="D430" s="40" t="n"/>
    </row>
    <row r="431">
      <c r="B431" s="36" t="n">
        <v>427</v>
      </c>
      <c r="C431" s="37" t="n"/>
      <c r="D431" s="38" t="n"/>
    </row>
    <row r="432">
      <c r="B432" s="36" t="n">
        <v>428</v>
      </c>
      <c r="C432" s="39" t="n"/>
      <c r="D432" s="40" t="n"/>
    </row>
    <row r="433">
      <c r="B433" s="36" t="n">
        <v>429</v>
      </c>
      <c r="C433" s="37" t="n"/>
      <c r="D433" s="38" t="n"/>
    </row>
    <row r="434">
      <c r="B434" s="36" t="n">
        <v>430</v>
      </c>
      <c r="C434" s="39" t="n"/>
      <c r="D434" s="40" t="n"/>
    </row>
    <row r="435">
      <c r="B435" s="36" t="n">
        <v>431</v>
      </c>
      <c r="C435" s="37" t="n"/>
      <c r="D435" s="38" t="n"/>
    </row>
    <row r="436">
      <c r="B436" s="36" t="n">
        <v>432</v>
      </c>
      <c r="C436" s="39" t="n"/>
      <c r="D436" s="40" t="n"/>
    </row>
    <row r="437">
      <c r="B437" s="36" t="n">
        <v>433</v>
      </c>
      <c r="C437" s="37" t="n"/>
      <c r="D437" s="38" t="n"/>
    </row>
    <row r="438">
      <c r="B438" s="36" t="n">
        <v>434</v>
      </c>
      <c r="C438" s="39" t="n"/>
      <c r="D438" s="40" t="n"/>
    </row>
    <row r="439">
      <c r="B439" s="36" t="n">
        <v>435</v>
      </c>
      <c r="C439" s="37" t="n"/>
      <c r="D439" s="38" t="n"/>
    </row>
    <row r="440">
      <c r="B440" s="36" t="n">
        <v>436</v>
      </c>
      <c r="C440" s="39" t="n"/>
      <c r="D440" s="40" t="n"/>
    </row>
    <row r="441">
      <c r="B441" s="36" t="n">
        <v>437</v>
      </c>
      <c r="C441" s="37" t="n"/>
      <c r="D441" s="38" t="n"/>
    </row>
    <row r="442">
      <c r="B442" s="36" t="n">
        <v>438</v>
      </c>
      <c r="C442" s="39" t="n"/>
      <c r="D442" s="40" t="n"/>
    </row>
    <row r="443">
      <c r="B443" s="36" t="n">
        <v>439</v>
      </c>
      <c r="C443" s="37" t="n"/>
      <c r="D443" s="38" t="n"/>
    </row>
    <row r="444">
      <c r="B444" s="36" t="n">
        <v>440</v>
      </c>
      <c r="C444" s="39" t="n"/>
      <c r="D444" s="40" t="n"/>
    </row>
    <row r="445">
      <c r="B445" s="36" t="n">
        <v>441</v>
      </c>
      <c r="C445" s="37" t="n"/>
      <c r="D445" s="38" t="n"/>
    </row>
    <row r="446">
      <c r="B446" s="36" t="n">
        <v>442</v>
      </c>
      <c r="C446" s="39" t="n"/>
      <c r="D446" s="40" t="n"/>
    </row>
    <row r="447">
      <c r="B447" s="36" t="n">
        <v>443</v>
      </c>
      <c r="C447" s="37" t="n"/>
      <c r="D447" s="38" t="n"/>
    </row>
    <row r="448">
      <c r="B448" s="36" t="n">
        <v>444</v>
      </c>
      <c r="C448" s="39" t="n"/>
      <c r="D448" s="40" t="n"/>
    </row>
    <row r="449">
      <c r="B449" s="36" t="n">
        <v>445</v>
      </c>
      <c r="C449" s="37" t="n"/>
      <c r="D449" s="38" t="n"/>
    </row>
    <row r="450">
      <c r="B450" s="36" t="n">
        <v>446</v>
      </c>
      <c r="C450" s="39" t="n"/>
      <c r="D450" s="40" t="n"/>
    </row>
    <row r="451">
      <c r="B451" s="36" t="n">
        <v>447</v>
      </c>
      <c r="C451" s="37" t="n"/>
      <c r="D451" s="38" t="n"/>
    </row>
    <row r="452">
      <c r="B452" s="36" t="n">
        <v>448</v>
      </c>
      <c r="C452" s="39" t="n"/>
      <c r="D452" s="40" t="n"/>
    </row>
    <row r="453">
      <c r="B453" s="36" t="n">
        <v>449</v>
      </c>
      <c r="C453" s="37" t="n"/>
      <c r="D453" s="38" t="n"/>
    </row>
    <row r="454">
      <c r="B454" s="36" t="n">
        <v>450</v>
      </c>
      <c r="C454" s="39" t="n"/>
      <c r="D454" s="40" t="n"/>
    </row>
    <row r="455">
      <c r="B455" s="36" t="n">
        <v>451</v>
      </c>
      <c r="C455" s="37" t="n"/>
      <c r="D455" s="38" t="n"/>
    </row>
    <row r="456">
      <c r="B456" s="36" t="n">
        <v>452</v>
      </c>
      <c r="C456" s="39" t="n"/>
      <c r="D456" s="40" t="n"/>
    </row>
    <row r="457">
      <c r="B457" s="36" t="n">
        <v>453</v>
      </c>
      <c r="C457" s="37" t="n"/>
      <c r="D457" s="38" t="n"/>
    </row>
    <row r="458">
      <c r="B458" s="36" t="n">
        <v>454</v>
      </c>
      <c r="C458" s="39" t="n"/>
      <c r="D458" s="40" t="n"/>
    </row>
    <row r="459">
      <c r="B459" s="36" t="n">
        <v>455</v>
      </c>
      <c r="C459" s="37" t="n"/>
      <c r="D459" s="38" t="n"/>
    </row>
    <row r="460">
      <c r="B460" s="36" t="n">
        <v>456</v>
      </c>
      <c r="C460" s="39" t="n"/>
      <c r="D460" s="40" t="n"/>
    </row>
    <row r="461">
      <c r="B461" s="36" t="n">
        <v>457</v>
      </c>
      <c r="C461" s="37" t="n"/>
      <c r="D461" s="38" t="n"/>
    </row>
    <row r="462">
      <c r="B462" s="36" t="n">
        <v>458</v>
      </c>
      <c r="C462" s="39" t="n"/>
      <c r="D462" s="40" t="n"/>
    </row>
    <row r="463">
      <c r="B463" s="36" t="n">
        <v>459</v>
      </c>
      <c r="C463" s="37" t="n"/>
      <c r="D463" s="38" t="n"/>
    </row>
    <row r="464">
      <c r="B464" s="36" t="n">
        <v>460</v>
      </c>
      <c r="C464" s="39" t="n"/>
      <c r="D464" s="40" t="n"/>
    </row>
    <row r="465">
      <c r="B465" s="36" t="n">
        <v>461</v>
      </c>
      <c r="C465" s="37" t="n"/>
      <c r="D465" s="38" t="n"/>
    </row>
    <row r="466">
      <c r="B466" s="36" t="n">
        <v>462</v>
      </c>
      <c r="C466" s="39" t="n"/>
      <c r="D466" s="40" t="n"/>
    </row>
    <row r="467">
      <c r="B467" s="36" t="n">
        <v>463</v>
      </c>
      <c r="C467" s="37" t="n"/>
      <c r="D467" s="38" t="n"/>
    </row>
    <row r="468">
      <c r="B468" s="36" t="n">
        <v>464</v>
      </c>
      <c r="C468" s="39" t="n"/>
      <c r="D468" s="40" t="n"/>
    </row>
    <row r="469">
      <c r="B469" s="36" t="n">
        <v>465</v>
      </c>
      <c r="C469" s="37" t="n"/>
      <c r="D469" s="38" t="n"/>
    </row>
    <row r="470">
      <c r="B470" s="36" t="n">
        <v>466</v>
      </c>
      <c r="C470" s="39" t="n"/>
      <c r="D470" s="40" t="n"/>
    </row>
    <row r="471">
      <c r="B471" s="36" t="n">
        <v>467</v>
      </c>
      <c r="C471" s="37" t="n"/>
      <c r="D471" s="38" t="n"/>
    </row>
    <row r="472">
      <c r="B472" s="36" t="n">
        <v>468</v>
      </c>
      <c r="C472" s="39" t="n"/>
      <c r="D472" s="40" t="n"/>
    </row>
    <row r="473">
      <c r="B473" s="36" t="n">
        <v>469</v>
      </c>
      <c r="C473" s="37" t="n"/>
      <c r="D473" s="38" t="n"/>
    </row>
    <row r="474">
      <c r="B474" s="36" t="n">
        <v>470</v>
      </c>
      <c r="C474" s="39" t="n"/>
      <c r="D474" s="40" t="n"/>
    </row>
    <row r="475">
      <c r="B475" s="36" t="n">
        <v>471</v>
      </c>
      <c r="C475" s="37" t="n"/>
      <c r="D475" s="38" t="n"/>
    </row>
    <row r="476">
      <c r="B476" s="36" t="n">
        <v>472</v>
      </c>
      <c r="C476" s="39" t="n"/>
      <c r="D476" s="40" t="n"/>
    </row>
    <row r="477">
      <c r="B477" s="36" t="n">
        <v>473</v>
      </c>
      <c r="C477" s="37" t="n"/>
      <c r="D477" s="38" t="n"/>
    </row>
    <row r="478">
      <c r="B478" s="36" t="n">
        <v>474</v>
      </c>
      <c r="C478" s="39" t="n"/>
      <c r="D478" s="40" t="n"/>
    </row>
    <row r="479">
      <c r="B479" s="36" t="n">
        <v>475</v>
      </c>
      <c r="C479" s="37" t="n"/>
      <c r="D479" s="38" t="n"/>
    </row>
    <row r="480">
      <c r="B480" s="36" t="n">
        <v>476</v>
      </c>
      <c r="C480" s="39" t="n"/>
      <c r="D480" s="40" t="n"/>
    </row>
    <row r="481">
      <c r="B481" s="36" t="n">
        <v>477</v>
      </c>
      <c r="C481" s="37" t="n"/>
      <c r="D481" s="38" t="n"/>
    </row>
    <row r="482">
      <c r="B482" s="36" t="n">
        <v>478</v>
      </c>
      <c r="C482" s="39" t="n"/>
      <c r="D482" s="40" t="n"/>
    </row>
    <row r="483">
      <c r="B483" s="36" t="n">
        <v>479</v>
      </c>
      <c r="C483" s="37" t="n"/>
      <c r="D483" s="38" t="n"/>
    </row>
    <row r="484">
      <c r="B484" s="36" t="n">
        <v>480</v>
      </c>
      <c r="C484" s="39" t="n"/>
      <c r="D484" s="40" t="n"/>
    </row>
    <row r="485">
      <c r="B485" s="36" t="n">
        <v>481</v>
      </c>
      <c r="C485" s="37" t="n"/>
      <c r="D485" s="38" t="n"/>
    </row>
    <row r="486">
      <c r="B486" s="36" t="n">
        <v>482</v>
      </c>
      <c r="C486" s="39" t="n"/>
      <c r="D486" s="40" t="n"/>
    </row>
    <row r="487">
      <c r="B487" s="36" t="n">
        <v>483</v>
      </c>
      <c r="C487" s="37" t="n"/>
      <c r="D487" s="38" t="n"/>
    </row>
    <row r="488">
      <c r="B488" s="36" t="n">
        <v>484</v>
      </c>
      <c r="C488" s="39" t="n"/>
      <c r="D488" s="40" t="n"/>
    </row>
    <row r="489">
      <c r="B489" s="36" t="n">
        <v>485</v>
      </c>
      <c r="C489" s="37" t="n"/>
      <c r="D489" s="38" t="n"/>
    </row>
    <row r="490">
      <c r="B490" s="36" t="n">
        <v>486</v>
      </c>
      <c r="C490" s="39" t="n"/>
      <c r="D490" s="40" t="n"/>
    </row>
    <row r="491">
      <c r="B491" s="36" t="n">
        <v>487</v>
      </c>
      <c r="C491" s="37" t="n"/>
      <c r="D491" s="38" t="n"/>
    </row>
    <row r="492">
      <c r="B492" s="36" t="n">
        <v>488</v>
      </c>
      <c r="C492" s="39" t="n"/>
      <c r="D492" s="40" t="n"/>
    </row>
    <row r="493">
      <c r="B493" s="36" t="n">
        <v>489</v>
      </c>
      <c r="C493" s="37" t="n"/>
      <c r="D493" s="38" t="n"/>
    </row>
    <row r="494">
      <c r="B494" s="36" t="n">
        <v>490</v>
      </c>
      <c r="C494" s="39" t="n"/>
      <c r="D494" s="40" t="n"/>
    </row>
    <row r="495">
      <c r="B495" s="36" t="n">
        <v>491</v>
      </c>
      <c r="C495" s="37" t="n"/>
      <c r="D495" s="38" t="n"/>
    </row>
    <row r="496">
      <c r="B496" s="36" t="n">
        <v>492</v>
      </c>
      <c r="C496" s="39" t="n"/>
      <c r="D496" s="40" t="n"/>
    </row>
    <row r="497">
      <c r="B497" s="36" t="n">
        <v>493</v>
      </c>
      <c r="C497" s="37" t="n"/>
      <c r="D497" s="38" t="n"/>
    </row>
    <row r="498">
      <c r="B498" s="36" t="n">
        <v>494</v>
      </c>
      <c r="C498" s="39" t="n"/>
      <c r="D498" s="40" t="n"/>
    </row>
    <row r="499">
      <c r="B499" s="36" t="n">
        <v>495</v>
      </c>
      <c r="C499" s="37" t="n"/>
      <c r="D499" s="38" t="n"/>
    </row>
    <row r="500">
      <c r="B500" s="36" t="n">
        <v>496</v>
      </c>
      <c r="C500" s="39" t="n"/>
      <c r="D500" s="40" t="n"/>
    </row>
    <row r="501">
      <c r="B501" s="36" t="n">
        <v>497</v>
      </c>
      <c r="C501" s="37" t="n"/>
      <c r="D501" s="38" t="n"/>
    </row>
    <row r="502">
      <c r="B502" s="36" t="n">
        <v>498</v>
      </c>
      <c r="C502" s="39" t="n"/>
      <c r="D502" s="40" t="n"/>
    </row>
    <row r="503">
      <c r="B503" s="36" t="n">
        <v>499</v>
      </c>
      <c r="C503" s="37" t="n"/>
      <c r="D503" s="38" t="n"/>
    </row>
    <row r="504">
      <c r="B504" s="36" t="n">
        <v>500</v>
      </c>
      <c r="C504" s="39" t="n"/>
      <c r="D504" s="40" t="n"/>
    </row>
    <row r="505">
      <c r="B505" s="36" t="n">
        <v>501</v>
      </c>
      <c r="C505" s="37" t="n"/>
      <c r="D505" s="38" t="n"/>
    </row>
    <row r="506">
      <c r="B506" s="36" t="n">
        <v>502</v>
      </c>
      <c r="C506" s="39" t="n"/>
      <c r="D506" s="40" t="n"/>
    </row>
    <row r="507">
      <c r="B507" s="36" t="n">
        <v>503</v>
      </c>
      <c r="C507" s="37" t="n"/>
      <c r="D507" s="38" t="n"/>
    </row>
    <row r="508">
      <c r="B508" s="36" t="n">
        <v>504</v>
      </c>
      <c r="C508" s="39" t="n"/>
      <c r="D508" s="40" t="n"/>
    </row>
    <row r="509">
      <c r="B509" s="36" t="n">
        <v>505</v>
      </c>
      <c r="C509" s="37" t="n"/>
      <c r="D509" s="38" t="n"/>
    </row>
    <row r="510">
      <c r="B510" s="36" t="n">
        <v>506</v>
      </c>
      <c r="C510" s="39" t="n"/>
      <c r="D510" s="40" t="n"/>
    </row>
    <row r="511">
      <c r="B511" s="36" t="n">
        <v>507</v>
      </c>
      <c r="C511" s="37" t="n"/>
      <c r="D511" s="38" t="n"/>
    </row>
    <row r="512">
      <c r="B512" s="36" t="n">
        <v>508</v>
      </c>
      <c r="C512" s="39" t="n"/>
      <c r="D512" s="40" t="n"/>
    </row>
    <row r="513">
      <c r="B513" s="36" t="n">
        <v>509</v>
      </c>
      <c r="C513" s="37" t="n"/>
      <c r="D513" s="38" t="n"/>
    </row>
    <row r="514">
      <c r="B514" s="36" t="n">
        <v>510</v>
      </c>
      <c r="C514" s="39" t="n"/>
      <c r="D514" s="40" t="n"/>
    </row>
    <row r="515">
      <c r="B515" s="36" t="n">
        <v>511</v>
      </c>
      <c r="C515" s="37" t="n"/>
      <c r="D515" s="38" t="n"/>
    </row>
    <row r="516">
      <c r="B516" s="36" t="n">
        <v>512</v>
      </c>
      <c r="C516" s="39" t="n"/>
      <c r="D516" s="40" t="n"/>
    </row>
    <row r="517">
      <c r="B517" s="36" t="n">
        <v>513</v>
      </c>
      <c r="C517" s="37" t="n"/>
      <c r="D517" s="38" t="n"/>
    </row>
    <row r="518">
      <c r="B518" s="36" t="n">
        <v>514</v>
      </c>
      <c r="C518" s="39" t="n"/>
      <c r="D518" s="40" t="n"/>
    </row>
    <row r="519">
      <c r="B519" s="36" t="n">
        <v>515</v>
      </c>
      <c r="C519" s="37" t="n"/>
      <c r="D519" s="38" t="n"/>
    </row>
    <row r="520">
      <c r="B520" s="36" t="n">
        <v>516</v>
      </c>
      <c r="C520" s="39" t="n"/>
      <c r="D520" s="40" t="n"/>
    </row>
    <row r="521">
      <c r="B521" s="36" t="n">
        <v>517</v>
      </c>
      <c r="C521" s="37" t="n"/>
      <c r="D521" s="38" t="n"/>
    </row>
    <row r="522">
      <c r="B522" s="36" t="n">
        <v>518</v>
      </c>
      <c r="C522" s="39" t="n"/>
      <c r="D522" s="40" t="n"/>
    </row>
    <row r="523">
      <c r="B523" s="36" t="n">
        <v>519</v>
      </c>
      <c r="C523" s="37" t="n"/>
      <c r="D523" s="38" t="n"/>
    </row>
    <row r="524">
      <c r="B524" s="36" t="n">
        <v>520</v>
      </c>
      <c r="C524" s="39" t="n"/>
      <c r="D524" s="40" t="n"/>
    </row>
    <row r="525">
      <c r="B525" s="36" t="n">
        <v>521</v>
      </c>
      <c r="C525" s="37" t="n"/>
      <c r="D525" s="38" t="n"/>
    </row>
    <row r="526">
      <c r="B526" s="36" t="n">
        <v>522</v>
      </c>
      <c r="C526" s="39" t="n"/>
      <c r="D526" s="40" t="n"/>
    </row>
    <row r="527">
      <c r="B527" s="36" t="n">
        <v>523</v>
      </c>
      <c r="C527" s="37" t="n"/>
      <c r="D527" s="38" t="n"/>
    </row>
    <row r="528">
      <c r="B528" s="36" t="n">
        <v>524</v>
      </c>
      <c r="C528" s="39" t="n"/>
      <c r="D528" s="40" t="n"/>
    </row>
    <row r="529">
      <c r="B529" s="36" t="n">
        <v>525</v>
      </c>
      <c r="C529" s="37" t="n"/>
      <c r="D529" s="38" t="n"/>
    </row>
    <row r="530">
      <c r="B530" s="36" t="n">
        <v>526</v>
      </c>
      <c r="C530" s="39" t="n"/>
      <c r="D530" s="40" t="n"/>
    </row>
    <row r="531">
      <c r="B531" s="36" t="n">
        <v>527</v>
      </c>
      <c r="C531" s="37" t="n"/>
      <c r="D531" s="38" t="n"/>
    </row>
    <row r="532">
      <c r="B532" s="36" t="n">
        <v>528</v>
      </c>
      <c r="C532" s="39" t="n"/>
      <c r="D532" s="40" t="n"/>
    </row>
    <row r="533">
      <c r="B533" s="36" t="n">
        <v>529</v>
      </c>
      <c r="C533" s="37" t="n"/>
      <c r="D533" s="38" t="n"/>
    </row>
    <row r="534">
      <c r="B534" s="36" t="n">
        <v>530</v>
      </c>
      <c r="C534" s="39" t="n"/>
      <c r="D534" s="40" t="n"/>
    </row>
    <row r="535">
      <c r="B535" s="36" t="n">
        <v>531</v>
      </c>
      <c r="C535" s="37" t="n"/>
      <c r="D535" s="38" t="n"/>
    </row>
    <row r="536">
      <c r="B536" s="36" t="n">
        <v>532</v>
      </c>
      <c r="C536" s="39" t="n"/>
      <c r="D536" s="40" t="n"/>
    </row>
    <row r="537">
      <c r="B537" s="36" t="n">
        <v>533</v>
      </c>
      <c r="C537" s="37" t="n"/>
      <c r="D537" s="38" t="n"/>
    </row>
    <row r="538">
      <c r="B538" s="36" t="n">
        <v>534</v>
      </c>
      <c r="C538" s="39" t="n"/>
      <c r="D538" s="40" t="n"/>
    </row>
    <row r="539">
      <c r="B539" s="36" t="n">
        <v>535</v>
      </c>
      <c r="C539" s="37" t="n"/>
      <c r="D539" s="38" t="n"/>
    </row>
    <row r="540">
      <c r="B540" s="36" t="n">
        <v>536</v>
      </c>
      <c r="C540" s="39" t="n"/>
      <c r="D540" s="40" t="n"/>
    </row>
    <row r="541">
      <c r="B541" s="36" t="n">
        <v>537</v>
      </c>
      <c r="C541" s="37" t="n"/>
      <c r="D541" s="38" t="n"/>
    </row>
    <row r="542">
      <c r="B542" s="36" t="n">
        <v>538</v>
      </c>
      <c r="C542" s="39" t="n"/>
      <c r="D542" s="40" t="n"/>
    </row>
    <row r="543">
      <c r="B543" s="36" t="n">
        <v>539</v>
      </c>
      <c r="C543" s="37" t="n"/>
      <c r="D543" s="38" t="n"/>
    </row>
    <row r="544">
      <c r="B544" s="36" t="n">
        <v>540</v>
      </c>
      <c r="C544" s="39" t="n"/>
      <c r="D544" s="40" t="n"/>
    </row>
    <row r="545">
      <c r="B545" s="36" t="n">
        <v>541</v>
      </c>
      <c r="C545" s="37" t="n"/>
      <c r="D545" s="38" t="n"/>
    </row>
    <row r="546">
      <c r="B546" s="36" t="n">
        <v>542</v>
      </c>
      <c r="C546" s="39" t="n"/>
      <c r="D546" s="40" t="n"/>
    </row>
    <row r="547">
      <c r="B547" s="36" t="n">
        <v>543</v>
      </c>
      <c r="C547" s="37" t="n"/>
      <c r="D547" s="38" t="n"/>
    </row>
    <row r="548">
      <c r="B548" s="36" t="n">
        <v>544</v>
      </c>
      <c r="C548" s="39" t="n"/>
      <c r="D548" s="40" t="n"/>
    </row>
    <row r="549">
      <c r="B549" s="36" t="n">
        <v>545</v>
      </c>
      <c r="C549" s="37" t="n"/>
      <c r="D549" s="38" t="n"/>
    </row>
    <row r="550">
      <c r="B550" s="36" t="n">
        <v>546</v>
      </c>
      <c r="C550" s="39" t="n"/>
      <c r="D550" s="40" t="n"/>
    </row>
    <row r="551">
      <c r="B551" s="36" t="n">
        <v>547</v>
      </c>
      <c r="C551" s="37" t="n"/>
      <c r="D551" s="38" t="n"/>
    </row>
    <row r="552">
      <c r="B552" s="36" t="n">
        <v>548</v>
      </c>
      <c r="C552" s="39" t="n"/>
      <c r="D552" s="40" t="n"/>
    </row>
    <row r="553">
      <c r="B553" s="36" t="n">
        <v>549</v>
      </c>
      <c r="C553" s="37" t="n"/>
      <c r="D553" s="38" t="n"/>
    </row>
    <row r="554">
      <c r="B554" s="36" t="n">
        <v>550</v>
      </c>
      <c r="C554" s="39" t="n"/>
      <c r="D554" s="40" t="n"/>
    </row>
    <row r="555">
      <c r="B555" s="36" t="n">
        <v>551</v>
      </c>
      <c r="C555" s="37" t="n"/>
      <c r="D555" s="38" t="n"/>
    </row>
    <row r="556">
      <c r="B556" s="36" t="n">
        <v>552</v>
      </c>
      <c r="C556" s="39" t="n"/>
      <c r="D556" s="40" t="n"/>
    </row>
    <row r="557">
      <c r="B557" s="36" t="n">
        <v>553</v>
      </c>
      <c r="C557" s="37" t="n"/>
      <c r="D557" s="38" t="n"/>
    </row>
    <row r="558">
      <c r="B558" s="36" t="n">
        <v>554</v>
      </c>
      <c r="C558" s="39" t="n"/>
      <c r="D558" s="40" t="n"/>
    </row>
    <row r="559">
      <c r="B559" s="36" t="n">
        <v>555</v>
      </c>
      <c r="C559" s="37" t="n"/>
      <c r="D559" s="38" t="n"/>
    </row>
    <row r="560">
      <c r="B560" s="36" t="n">
        <v>556</v>
      </c>
      <c r="C560" s="39" t="n"/>
      <c r="D560" s="40" t="n"/>
    </row>
    <row r="561">
      <c r="B561" s="36" t="n">
        <v>557</v>
      </c>
      <c r="C561" s="37" t="n"/>
      <c r="D561" s="38" t="n"/>
    </row>
    <row r="562">
      <c r="B562" s="36" t="n">
        <v>558</v>
      </c>
      <c r="C562" s="39" t="n"/>
      <c r="D562" s="40" t="n"/>
    </row>
    <row r="563">
      <c r="B563" s="36" t="n">
        <v>559</v>
      </c>
      <c r="C563" s="37" t="n"/>
      <c r="D563" s="38" t="n"/>
    </row>
    <row r="564">
      <c r="B564" s="36" t="n">
        <v>560</v>
      </c>
      <c r="C564" s="39" t="n"/>
      <c r="D564" s="40" t="n"/>
    </row>
    <row r="565">
      <c r="B565" s="36" t="n">
        <v>561</v>
      </c>
      <c r="C565" s="37" t="n"/>
      <c r="D565" s="38" t="n"/>
    </row>
    <row r="566">
      <c r="B566" s="36" t="n">
        <v>562</v>
      </c>
      <c r="C566" s="39" t="n"/>
      <c r="D566" s="40" t="n"/>
    </row>
    <row r="567">
      <c r="B567" s="36" t="n">
        <v>563</v>
      </c>
      <c r="C567" s="37" t="n"/>
      <c r="D567" s="38" t="n"/>
    </row>
    <row r="568">
      <c r="B568" s="36" t="n">
        <v>564</v>
      </c>
      <c r="C568" s="39" t="n"/>
      <c r="D568" s="40" t="n"/>
    </row>
    <row r="569">
      <c r="B569" s="36" t="n">
        <v>565</v>
      </c>
      <c r="C569" s="37" t="n"/>
      <c r="D569" s="38" t="n"/>
    </row>
    <row r="570">
      <c r="B570" s="36" t="n">
        <v>566</v>
      </c>
      <c r="C570" s="39" t="n"/>
      <c r="D570" s="40" t="n"/>
    </row>
    <row r="571">
      <c r="B571" s="36" t="n">
        <v>567</v>
      </c>
      <c r="C571" s="37" t="n"/>
      <c r="D571" s="38" t="n"/>
    </row>
    <row r="572">
      <c r="B572" s="36" t="n">
        <v>568</v>
      </c>
      <c r="C572" s="39" t="n"/>
      <c r="D572" s="40" t="n"/>
    </row>
    <row r="573">
      <c r="B573" s="36" t="n">
        <v>569</v>
      </c>
      <c r="C573" s="37" t="n"/>
      <c r="D573" s="38" t="n"/>
    </row>
    <row r="574">
      <c r="B574" s="36" t="n">
        <v>570</v>
      </c>
      <c r="C574" s="39" t="n"/>
      <c r="D574" s="40" t="n"/>
    </row>
    <row r="575">
      <c r="B575" s="36" t="n">
        <v>571</v>
      </c>
      <c r="C575" s="37" t="n"/>
      <c r="D575" s="38" t="n"/>
    </row>
    <row r="576">
      <c r="B576" s="36" t="n">
        <v>572</v>
      </c>
      <c r="C576" s="39" t="n"/>
      <c r="D576" s="40" t="n"/>
    </row>
    <row r="577">
      <c r="B577" s="36" t="n">
        <v>573</v>
      </c>
      <c r="C577" s="37" t="n"/>
      <c r="D577" s="38" t="n"/>
    </row>
    <row r="578">
      <c r="B578" s="36" t="n">
        <v>574</v>
      </c>
      <c r="C578" s="39" t="n"/>
      <c r="D578" s="40" t="n"/>
    </row>
    <row r="579">
      <c r="B579" s="36" t="n">
        <v>575</v>
      </c>
      <c r="C579" s="37" t="n"/>
      <c r="D579" s="38" t="n"/>
    </row>
    <row r="580">
      <c r="B580" s="36" t="n">
        <v>576</v>
      </c>
      <c r="C580" s="39" t="n"/>
      <c r="D580" s="40" t="n"/>
    </row>
    <row r="581">
      <c r="B581" s="36" t="n">
        <v>577</v>
      </c>
      <c r="C581" s="37" t="n"/>
      <c r="D581" s="38" t="n"/>
    </row>
    <row r="582">
      <c r="B582" s="36" t="n">
        <v>578</v>
      </c>
      <c r="C582" s="39" t="n"/>
      <c r="D582" s="40" t="n"/>
    </row>
    <row r="583">
      <c r="B583" s="36" t="n">
        <v>579</v>
      </c>
      <c r="C583" s="37" t="n"/>
      <c r="D583" s="38" t="n"/>
    </row>
    <row r="584">
      <c r="B584" s="36" t="n">
        <v>580</v>
      </c>
      <c r="C584" s="39" t="n"/>
      <c r="D584" s="40" t="n"/>
    </row>
    <row r="585">
      <c r="B585" s="36" t="n">
        <v>581</v>
      </c>
      <c r="C585" s="37" t="n"/>
      <c r="D585" s="38" t="n"/>
    </row>
    <row r="586">
      <c r="B586" s="36" t="n">
        <v>582</v>
      </c>
      <c r="C586" s="39" t="n"/>
      <c r="D586" s="40" t="n"/>
    </row>
    <row r="587">
      <c r="B587" s="36" t="n">
        <v>583</v>
      </c>
      <c r="C587" s="37" t="n"/>
      <c r="D587" s="38" t="n"/>
    </row>
    <row r="588">
      <c r="B588" s="36" t="n">
        <v>584</v>
      </c>
      <c r="C588" s="39" t="n"/>
      <c r="D588" s="40" t="n"/>
    </row>
    <row r="589">
      <c r="B589" s="36" t="n">
        <v>585</v>
      </c>
      <c r="C589" s="37" t="n"/>
      <c r="D589" s="38" t="n"/>
    </row>
    <row r="590">
      <c r="B590" s="36" t="n">
        <v>586</v>
      </c>
      <c r="C590" s="39" t="n"/>
      <c r="D590" s="40" t="n"/>
    </row>
    <row r="591">
      <c r="B591" s="36" t="n">
        <v>587</v>
      </c>
      <c r="C591" s="37" t="n"/>
      <c r="D591" s="38" t="n"/>
    </row>
    <row r="592">
      <c r="B592" s="36" t="n">
        <v>588</v>
      </c>
      <c r="C592" s="39" t="n"/>
      <c r="D592" s="40" t="n"/>
    </row>
    <row r="593">
      <c r="B593" s="36" t="n">
        <v>589</v>
      </c>
      <c r="C593" s="37" t="n"/>
      <c r="D593" s="38" t="n"/>
    </row>
    <row r="594">
      <c r="B594" s="36" t="n">
        <v>590</v>
      </c>
      <c r="C594" s="39" t="n"/>
      <c r="D594" s="40" t="n"/>
    </row>
    <row r="595">
      <c r="B595" s="36" t="n">
        <v>591</v>
      </c>
      <c r="C595" s="37" t="n"/>
      <c r="D595" s="38" t="n"/>
    </row>
    <row r="596">
      <c r="B596" s="36" t="n">
        <v>592</v>
      </c>
      <c r="C596" s="39" t="n"/>
      <c r="D596" s="40" t="n"/>
    </row>
    <row r="597">
      <c r="B597" s="36" t="n">
        <v>593</v>
      </c>
      <c r="C597" s="37" t="n"/>
      <c r="D597" s="38" t="n"/>
    </row>
    <row r="598">
      <c r="B598" s="36" t="n">
        <v>594</v>
      </c>
      <c r="C598" s="39" t="n"/>
      <c r="D598" s="40" t="n"/>
    </row>
    <row r="599">
      <c r="B599" s="36" t="n">
        <v>595</v>
      </c>
      <c r="C599" s="37" t="n"/>
      <c r="D599" s="38" t="n"/>
    </row>
    <row r="600">
      <c r="B600" s="36" t="n">
        <v>596</v>
      </c>
      <c r="C600" s="39" t="n"/>
      <c r="D600" s="40" t="n"/>
    </row>
    <row r="601">
      <c r="B601" s="36" t="n">
        <v>597</v>
      </c>
      <c r="C601" s="37" t="n"/>
      <c r="D601" s="38" t="n"/>
    </row>
    <row r="602">
      <c r="B602" s="36" t="n">
        <v>598</v>
      </c>
      <c r="C602" s="39" t="n"/>
      <c r="D602" s="40" t="n"/>
    </row>
    <row r="603">
      <c r="B603" s="36" t="n">
        <v>599</v>
      </c>
      <c r="C603" s="37" t="n"/>
      <c r="D603" s="38" t="n"/>
    </row>
    <row r="604">
      <c r="B604" s="36" t="n">
        <v>600</v>
      </c>
      <c r="C604" s="39" t="n"/>
      <c r="D604" s="40" t="n"/>
    </row>
    <row r="605">
      <c r="B605" s="36" t="n">
        <v>601</v>
      </c>
      <c r="C605" s="37" t="n"/>
      <c r="D605" s="38" t="n"/>
    </row>
    <row r="606">
      <c r="B606" s="36" t="n">
        <v>602</v>
      </c>
      <c r="C606" s="39" t="n"/>
      <c r="D606" s="40" t="n"/>
    </row>
    <row r="607">
      <c r="B607" s="36" t="n">
        <v>603</v>
      </c>
      <c r="C607" s="37" t="n"/>
      <c r="D607" s="38" t="n"/>
    </row>
    <row r="608">
      <c r="B608" s="36" t="n">
        <v>604</v>
      </c>
      <c r="C608" s="39" t="n"/>
      <c r="D608" s="40" t="n"/>
    </row>
    <row r="609">
      <c r="B609" s="36" t="n">
        <v>605</v>
      </c>
      <c r="C609" s="37" t="n"/>
      <c r="D609" s="38" t="n"/>
    </row>
    <row r="610">
      <c r="B610" s="36" t="n">
        <v>606</v>
      </c>
      <c r="C610" s="39" t="n"/>
      <c r="D610" s="40" t="n"/>
    </row>
    <row r="611">
      <c r="B611" s="36" t="n">
        <v>607</v>
      </c>
      <c r="C611" s="37" t="n"/>
      <c r="D611" s="38" t="n"/>
    </row>
    <row r="612">
      <c r="B612" s="36" t="n">
        <v>608</v>
      </c>
      <c r="C612" s="39" t="n"/>
      <c r="D612" s="40" t="n"/>
    </row>
    <row r="613">
      <c r="B613" s="36" t="n">
        <v>609</v>
      </c>
      <c r="C613" s="37" t="n"/>
      <c r="D613" s="38" t="n"/>
    </row>
    <row r="614">
      <c r="B614" s="36" t="n">
        <v>610</v>
      </c>
      <c r="C614" s="39" t="n"/>
      <c r="D614" s="40" t="n"/>
    </row>
    <row r="615">
      <c r="B615" s="36" t="n">
        <v>611</v>
      </c>
      <c r="C615" s="37" t="n"/>
      <c r="D615" s="38" t="n"/>
    </row>
    <row r="616">
      <c r="B616" s="36" t="n">
        <v>612</v>
      </c>
      <c r="C616" s="39" t="n"/>
      <c r="D616" s="40" t="n"/>
    </row>
    <row r="617">
      <c r="B617" s="36" t="n">
        <v>613</v>
      </c>
      <c r="C617" s="37" t="n"/>
      <c r="D617" s="38" t="n"/>
    </row>
    <row r="618">
      <c r="B618" s="36" t="n">
        <v>614</v>
      </c>
      <c r="C618" s="39" t="n"/>
      <c r="D618" s="40" t="n"/>
    </row>
    <row r="619">
      <c r="B619" s="36" t="n">
        <v>615</v>
      </c>
      <c r="C619" s="37" t="n"/>
      <c r="D619" s="38" t="n"/>
    </row>
    <row r="620">
      <c r="B620" s="36" t="n">
        <v>616</v>
      </c>
      <c r="C620" s="39" t="n"/>
      <c r="D620" s="40" t="n"/>
    </row>
    <row r="621">
      <c r="B621" s="36" t="n">
        <v>617</v>
      </c>
      <c r="C621" s="37" t="n"/>
      <c r="D621" s="38" t="n"/>
    </row>
    <row r="622">
      <c r="B622" s="36" t="n">
        <v>618</v>
      </c>
      <c r="C622" s="39" t="n"/>
      <c r="D622" s="40" t="n"/>
    </row>
    <row r="623">
      <c r="B623" s="36" t="n">
        <v>619</v>
      </c>
      <c r="C623" s="37" t="n"/>
      <c r="D623" s="38" t="n"/>
    </row>
    <row r="624">
      <c r="B624" s="36" t="n">
        <v>620</v>
      </c>
      <c r="C624" s="39" t="n"/>
      <c r="D624" s="40" t="n"/>
    </row>
    <row r="625">
      <c r="B625" s="36" t="n">
        <v>621</v>
      </c>
      <c r="C625" s="37" t="n"/>
      <c r="D625" s="38" t="n"/>
    </row>
    <row r="626">
      <c r="B626" s="36" t="n">
        <v>622</v>
      </c>
      <c r="C626" s="39" t="n"/>
      <c r="D626" s="40" t="n"/>
    </row>
    <row r="627">
      <c r="B627" s="36" t="n">
        <v>623</v>
      </c>
      <c r="C627" s="37" t="n"/>
      <c r="D627" s="38" t="n"/>
    </row>
    <row r="628">
      <c r="B628" s="36" t="n">
        <v>624</v>
      </c>
      <c r="C628" s="39" t="n"/>
      <c r="D628" s="40" t="n"/>
    </row>
    <row r="629">
      <c r="B629" s="36" t="n">
        <v>625</v>
      </c>
      <c r="C629" s="37" t="n"/>
      <c r="D629" s="38" t="n"/>
    </row>
    <row r="630">
      <c r="B630" s="36" t="n">
        <v>626</v>
      </c>
      <c r="C630" s="39" t="n"/>
      <c r="D630" s="40" t="n"/>
    </row>
    <row r="631">
      <c r="B631" s="36" t="n">
        <v>627</v>
      </c>
      <c r="C631" s="37" t="n"/>
      <c r="D631" s="38" t="n"/>
    </row>
    <row r="632">
      <c r="B632" s="36" t="n">
        <v>628</v>
      </c>
      <c r="C632" s="39" t="n"/>
      <c r="D632" s="40" t="n"/>
    </row>
    <row r="633">
      <c r="B633" s="36" t="n">
        <v>629</v>
      </c>
      <c r="C633" s="37" t="n"/>
      <c r="D633" s="38" t="n"/>
    </row>
    <row r="634">
      <c r="B634" s="36" t="n">
        <v>630</v>
      </c>
      <c r="C634" s="39" t="n"/>
      <c r="D634" s="40" t="n"/>
    </row>
    <row r="635">
      <c r="B635" s="36" t="n">
        <v>631</v>
      </c>
      <c r="C635" s="37" t="n"/>
      <c r="D635" s="38" t="n"/>
    </row>
    <row r="636">
      <c r="B636" s="36" t="n">
        <v>632</v>
      </c>
      <c r="C636" s="39" t="n"/>
      <c r="D636" s="40" t="n"/>
    </row>
    <row r="637">
      <c r="B637" s="36" t="n">
        <v>633</v>
      </c>
      <c r="C637" s="37" t="n"/>
      <c r="D637" s="38" t="n"/>
    </row>
    <row r="638">
      <c r="B638" s="36" t="n">
        <v>634</v>
      </c>
      <c r="C638" s="39" t="n"/>
      <c r="D638" s="40" t="n"/>
    </row>
    <row r="639">
      <c r="B639" s="36" t="n">
        <v>635</v>
      </c>
      <c r="C639" s="37" t="n"/>
      <c r="D639" s="38" t="n"/>
    </row>
    <row r="640">
      <c r="B640" s="36" t="n">
        <v>636</v>
      </c>
      <c r="C640" s="39" t="n"/>
      <c r="D640" s="40" t="n"/>
    </row>
    <row r="641">
      <c r="B641" s="36" t="n">
        <v>637</v>
      </c>
      <c r="C641" s="37" t="n"/>
      <c r="D641" s="38" t="n"/>
    </row>
    <row r="642">
      <c r="B642" s="36" t="n">
        <v>638</v>
      </c>
      <c r="C642" s="39" t="n"/>
      <c r="D642" s="40" t="n"/>
    </row>
    <row r="643">
      <c r="B643" s="36" t="n">
        <v>639</v>
      </c>
      <c r="C643" s="37" t="n"/>
      <c r="D643" s="38" t="n"/>
    </row>
    <row r="644">
      <c r="B644" s="36" t="n">
        <v>640</v>
      </c>
      <c r="C644" s="39" t="n"/>
      <c r="D644" s="40" t="n"/>
    </row>
    <row r="645">
      <c r="B645" s="36" t="n">
        <v>641</v>
      </c>
      <c r="C645" s="37" t="n"/>
      <c r="D645" s="38" t="n"/>
    </row>
    <row r="646">
      <c r="B646" s="36" t="n">
        <v>642</v>
      </c>
      <c r="C646" s="39" t="n"/>
      <c r="D646" s="40" t="n"/>
    </row>
    <row r="647">
      <c r="B647" s="36" t="n">
        <v>643</v>
      </c>
      <c r="C647" s="37" t="n"/>
      <c r="D647" s="38" t="n"/>
    </row>
    <row r="648">
      <c r="B648" s="36" t="n">
        <v>644</v>
      </c>
      <c r="C648" s="39" t="n"/>
      <c r="D648" s="40" t="n"/>
    </row>
    <row r="649">
      <c r="B649" s="36" t="n">
        <v>645</v>
      </c>
      <c r="C649" s="37" t="n"/>
      <c r="D649" s="38" t="n"/>
    </row>
    <row r="650">
      <c r="B650" s="36" t="n">
        <v>646</v>
      </c>
      <c r="C650" s="39" t="n"/>
      <c r="D650" s="40" t="n"/>
    </row>
    <row r="651">
      <c r="B651" s="36" t="n">
        <v>647</v>
      </c>
      <c r="C651" s="37" t="n"/>
      <c r="D651" s="38" t="n"/>
    </row>
    <row r="652">
      <c r="B652" s="36" t="n">
        <v>648</v>
      </c>
      <c r="C652" s="39" t="n"/>
      <c r="D652" s="40" t="n"/>
    </row>
    <row r="653">
      <c r="B653" s="36" t="n">
        <v>649</v>
      </c>
      <c r="C653" s="37" t="n"/>
      <c r="D653" s="38" t="n"/>
    </row>
    <row r="654">
      <c r="B654" s="36" t="n">
        <v>650</v>
      </c>
      <c r="C654" s="39" t="n"/>
      <c r="D654" s="40" t="n"/>
    </row>
    <row r="655">
      <c r="B655" s="36" t="n">
        <v>651</v>
      </c>
      <c r="C655" s="37" t="n"/>
      <c r="D655" s="38" t="n"/>
    </row>
    <row r="656">
      <c r="B656" s="36" t="n">
        <v>652</v>
      </c>
      <c r="C656" s="39" t="n"/>
      <c r="D656" s="40" t="n"/>
    </row>
    <row r="657">
      <c r="B657" s="36" t="n">
        <v>653</v>
      </c>
      <c r="C657" s="37" t="n"/>
      <c r="D657" s="38" t="n"/>
    </row>
    <row r="658">
      <c r="B658" s="36" t="n">
        <v>654</v>
      </c>
      <c r="C658" s="39" t="n"/>
      <c r="D658" s="40" t="n"/>
    </row>
    <row r="659">
      <c r="B659" s="36" t="n">
        <v>655</v>
      </c>
      <c r="C659" s="37" t="n"/>
      <c r="D659" s="38" t="n"/>
    </row>
    <row r="660">
      <c r="B660" s="36" t="n">
        <v>656</v>
      </c>
      <c r="C660" s="39" t="n"/>
      <c r="D660" s="40" t="n"/>
    </row>
    <row r="661">
      <c r="B661" s="36" t="n">
        <v>657</v>
      </c>
      <c r="C661" s="37" t="n"/>
      <c r="D661" s="38" t="n"/>
    </row>
    <row r="662">
      <c r="B662" s="36" t="n">
        <v>658</v>
      </c>
      <c r="C662" s="39" t="n"/>
      <c r="D662" s="40" t="n"/>
    </row>
    <row r="663">
      <c r="B663" s="36" t="n">
        <v>659</v>
      </c>
      <c r="C663" s="37" t="n"/>
      <c r="D663" s="38" t="n"/>
    </row>
    <row r="664">
      <c r="B664" s="36" t="n">
        <v>660</v>
      </c>
      <c r="C664" s="39" t="n"/>
      <c r="D664" s="40" t="n"/>
    </row>
    <row r="665">
      <c r="B665" s="36" t="n">
        <v>661</v>
      </c>
      <c r="C665" s="37" t="n"/>
      <c r="D665" s="38" t="n"/>
    </row>
    <row r="666">
      <c r="B666" s="36" t="n">
        <v>662</v>
      </c>
      <c r="C666" s="39" t="n"/>
      <c r="D666" s="40" t="n"/>
    </row>
    <row r="667">
      <c r="B667" s="36" t="n">
        <v>663</v>
      </c>
      <c r="C667" s="37" t="n"/>
      <c r="D667" s="38" t="n"/>
    </row>
    <row r="668">
      <c r="B668" s="36" t="n">
        <v>664</v>
      </c>
      <c r="C668" s="39" t="n"/>
      <c r="D668" s="40" t="n"/>
    </row>
    <row r="669">
      <c r="B669" s="36" t="n">
        <v>665</v>
      </c>
      <c r="C669" s="37" t="n"/>
      <c r="D669" s="38" t="n"/>
    </row>
    <row r="670">
      <c r="B670" s="36" t="n">
        <v>666</v>
      </c>
      <c r="C670" s="39" t="n"/>
      <c r="D670" s="40" t="n"/>
    </row>
    <row r="671">
      <c r="B671" s="36" t="n">
        <v>667</v>
      </c>
      <c r="C671" s="37" t="n"/>
      <c r="D671" s="38" t="n"/>
    </row>
    <row r="672">
      <c r="B672" s="36" t="n">
        <v>668</v>
      </c>
      <c r="C672" s="39" t="n"/>
      <c r="D672" s="40" t="n"/>
    </row>
    <row r="673">
      <c r="B673" s="36" t="n">
        <v>669</v>
      </c>
      <c r="C673" s="37" t="n"/>
      <c r="D673" s="38" t="n"/>
    </row>
    <row r="674">
      <c r="B674" s="36" t="n">
        <v>670</v>
      </c>
      <c r="C674" s="39" t="n"/>
      <c r="D674" s="40" t="n"/>
    </row>
    <row r="675">
      <c r="B675" s="36" t="n">
        <v>671</v>
      </c>
      <c r="C675" s="37" t="n"/>
      <c r="D675" s="38" t="n"/>
    </row>
    <row r="676">
      <c r="B676" s="36" t="n">
        <v>672</v>
      </c>
      <c r="C676" s="39" t="n"/>
      <c r="D676" s="40" t="n"/>
    </row>
    <row r="677">
      <c r="B677" s="36" t="n">
        <v>673</v>
      </c>
      <c r="C677" s="37" t="n"/>
      <c r="D677" s="38" t="n"/>
    </row>
    <row r="678">
      <c r="B678" s="36" t="n">
        <v>674</v>
      </c>
      <c r="C678" s="39" t="n"/>
      <c r="D678" s="40" t="n"/>
    </row>
    <row r="679">
      <c r="B679" s="36" t="n">
        <v>675</v>
      </c>
      <c r="C679" s="37" t="n"/>
      <c r="D679" s="38" t="n"/>
    </row>
    <row r="680">
      <c r="B680" s="36" t="n">
        <v>676</v>
      </c>
      <c r="C680" s="39" t="n"/>
      <c r="D680" s="40" t="n"/>
    </row>
    <row r="681">
      <c r="B681" s="36" t="n">
        <v>677</v>
      </c>
      <c r="C681" s="37" t="n"/>
      <c r="D681" s="38" t="n"/>
    </row>
    <row r="682">
      <c r="B682" s="36" t="n">
        <v>678</v>
      </c>
      <c r="C682" s="39" t="n"/>
      <c r="D682" s="40" t="n"/>
    </row>
    <row r="683">
      <c r="B683" s="36" t="n">
        <v>679</v>
      </c>
      <c r="C683" s="37" t="n"/>
      <c r="D683" s="38" t="n"/>
    </row>
    <row r="684">
      <c r="B684" s="36" t="n">
        <v>680</v>
      </c>
      <c r="C684" s="39" t="n"/>
      <c r="D684" s="40" t="n"/>
    </row>
    <row r="685">
      <c r="B685" s="36" t="n">
        <v>681</v>
      </c>
      <c r="C685" s="37" t="n"/>
      <c r="D685" s="38" t="n"/>
    </row>
    <row r="686">
      <c r="B686" s="36" t="n">
        <v>682</v>
      </c>
      <c r="C686" s="39" t="n"/>
      <c r="D686" s="40" t="n"/>
    </row>
    <row r="687">
      <c r="B687" s="36" t="n">
        <v>683</v>
      </c>
      <c r="C687" s="37" t="n"/>
      <c r="D687" s="38" t="n"/>
    </row>
    <row r="688">
      <c r="B688" s="36" t="n">
        <v>684</v>
      </c>
      <c r="C688" s="39" t="n"/>
      <c r="D688" s="40" t="n"/>
    </row>
    <row r="689">
      <c r="B689" s="36" t="n">
        <v>685</v>
      </c>
      <c r="C689" s="37" t="n"/>
      <c r="D689" s="38" t="n"/>
    </row>
    <row r="690">
      <c r="B690" s="36" t="n">
        <v>686</v>
      </c>
      <c r="C690" s="39" t="n"/>
      <c r="D690" s="40" t="n"/>
    </row>
    <row r="691">
      <c r="B691" s="36" t="n">
        <v>687</v>
      </c>
      <c r="C691" s="37" t="n"/>
      <c r="D691" s="38" t="n"/>
    </row>
    <row r="692">
      <c r="B692" s="36" t="n">
        <v>688</v>
      </c>
      <c r="C692" s="39" t="n"/>
      <c r="D692" s="40" t="n"/>
    </row>
    <row r="693">
      <c r="B693" s="36" t="n">
        <v>689</v>
      </c>
      <c r="C693" s="37" t="n"/>
      <c r="D693" s="38" t="n"/>
    </row>
    <row r="694">
      <c r="B694" s="36" t="n">
        <v>690</v>
      </c>
      <c r="C694" s="39" t="n"/>
      <c r="D694" s="40" t="n"/>
    </row>
    <row r="695">
      <c r="B695" s="36" t="n">
        <v>691</v>
      </c>
      <c r="C695" s="37" t="n"/>
      <c r="D695" s="38" t="n"/>
    </row>
    <row r="696">
      <c r="B696" s="36" t="n">
        <v>692</v>
      </c>
      <c r="C696" s="39" t="n"/>
      <c r="D696" s="40" t="n"/>
    </row>
    <row r="697">
      <c r="B697" s="36" t="n">
        <v>693</v>
      </c>
      <c r="C697" s="37" t="n"/>
      <c r="D697" s="38" t="n"/>
    </row>
    <row r="698">
      <c r="B698" s="36" t="n">
        <v>694</v>
      </c>
      <c r="C698" s="39" t="n"/>
      <c r="D698" s="40" t="n"/>
    </row>
    <row r="699">
      <c r="B699" s="36" t="n">
        <v>695</v>
      </c>
      <c r="C699" s="37" t="n"/>
      <c r="D699" s="38" t="n"/>
    </row>
    <row r="700">
      <c r="B700" s="36" t="n">
        <v>696</v>
      </c>
      <c r="C700" s="39" t="n"/>
      <c r="D700" s="40" t="n"/>
    </row>
    <row r="701">
      <c r="B701" s="36" t="n">
        <v>697</v>
      </c>
      <c r="C701" s="37" t="n"/>
      <c r="D701" s="38" t="n"/>
    </row>
    <row r="702">
      <c r="B702" s="36" t="n">
        <v>698</v>
      </c>
      <c r="C702" s="39" t="n"/>
      <c r="D702" s="40" t="n"/>
    </row>
    <row r="703">
      <c r="B703" s="36" t="n">
        <v>699</v>
      </c>
      <c r="C703" s="37" t="n"/>
      <c r="D703" s="38" t="n"/>
    </row>
    <row r="704">
      <c r="B704" s="36" t="n">
        <v>700</v>
      </c>
      <c r="C704" s="39" t="n"/>
      <c r="D704" s="40" t="n"/>
    </row>
    <row r="705">
      <c r="B705" s="36" t="n">
        <v>701</v>
      </c>
      <c r="C705" s="37" t="n"/>
      <c r="D705" s="38" t="n"/>
    </row>
    <row r="706">
      <c r="B706" s="36" t="n">
        <v>702</v>
      </c>
      <c r="C706" s="39" t="n"/>
      <c r="D706" s="40" t="n"/>
    </row>
    <row r="707">
      <c r="B707" s="36" t="n">
        <v>703</v>
      </c>
      <c r="C707" s="37" t="n"/>
      <c r="D707" s="38" t="n"/>
    </row>
    <row r="708">
      <c r="B708" s="36" t="n">
        <v>704</v>
      </c>
      <c r="C708" s="39" t="n"/>
      <c r="D708" s="40" t="n"/>
    </row>
    <row r="709">
      <c r="B709" s="36" t="n">
        <v>705</v>
      </c>
      <c r="C709" s="37" t="n"/>
      <c r="D709" s="38" t="n"/>
    </row>
    <row r="710">
      <c r="B710" s="36" t="n">
        <v>706</v>
      </c>
      <c r="C710" s="39" t="n"/>
      <c r="D710" s="40" t="n"/>
    </row>
    <row r="711">
      <c r="B711" s="36" t="n">
        <v>707</v>
      </c>
      <c r="C711" s="37" t="n"/>
      <c r="D711" s="38" t="n"/>
    </row>
    <row r="712">
      <c r="B712" s="36" t="n">
        <v>708</v>
      </c>
      <c r="C712" s="39" t="n"/>
      <c r="D712" s="40" t="n"/>
    </row>
    <row r="713">
      <c r="B713" s="36" t="n">
        <v>709</v>
      </c>
      <c r="C713" s="37" t="n"/>
      <c r="D713" s="38" t="n"/>
    </row>
    <row r="714">
      <c r="B714" s="36" t="n">
        <v>710</v>
      </c>
      <c r="C714" s="39" t="n"/>
      <c r="D714" s="40" t="n"/>
    </row>
    <row r="715">
      <c r="B715" s="36" t="n">
        <v>711</v>
      </c>
      <c r="C715" s="37" t="n"/>
      <c r="D715" s="38" t="n"/>
    </row>
    <row r="716">
      <c r="B716" s="36" t="n">
        <v>712</v>
      </c>
      <c r="C716" s="39" t="n"/>
      <c r="D716" s="40" t="n"/>
    </row>
    <row r="717">
      <c r="B717" s="36" t="n">
        <v>713</v>
      </c>
      <c r="C717" s="37" t="n"/>
      <c r="D717" s="38" t="n"/>
    </row>
    <row r="718">
      <c r="B718" s="36" t="n">
        <v>714</v>
      </c>
      <c r="C718" s="39" t="n"/>
      <c r="D718" s="40" t="n"/>
    </row>
    <row r="719">
      <c r="B719" s="36" t="n">
        <v>715</v>
      </c>
      <c r="C719" s="37" t="n"/>
      <c r="D719" s="38" t="n"/>
    </row>
    <row r="720">
      <c r="B720" s="36" t="n">
        <v>716</v>
      </c>
      <c r="C720" s="39" t="n"/>
      <c r="D720" s="40" t="n"/>
    </row>
    <row r="721">
      <c r="B721" s="36" t="n">
        <v>717</v>
      </c>
      <c r="C721" s="37" t="n"/>
      <c r="D721" s="38" t="n"/>
    </row>
    <row r="722">
      <c r="B722" s="36" t="n">
        <v>718</v>
      </c>
      <c r="C722" s="39" t="n"/>
      <c r="D722" s="40" t="n"/>
    </row>
    <row r="723">
      <c r="B723" s="36" t="n">
        <v>719</v>
      </c>
      <c r="C723" s="37" t="n"/>
      <c r="D723" s="38" t="n"/>
    </row>
    <row r="724">
      <c r="B724" s="36" t="n">
        <v>720</v>
      </c>
      <c r="C724" s="39" t="n"/>
      <c r="D724" s="40" t="n"/>
    </row>
    <row r="725">
      <c r="B725" s="36" t="n">
        <v>721</v>
      </c>
      <c r="C725" s="37" t="n"/>
      <c r="D725" s="38" t="n"/>
    </row>
    <row r="726">
      <c r="B726" s="36" t="n">
        <v>722</v>
      </c>
      <c r="C726" s="39" t="n"/>
      <c r="D726" s="40" t="n"/>
    </row>
    <row r="727">
      <c r="B727" s="36" t="n">
        <v>723</v>
      </c>
      <c r="C727" s="37" t="n"/>
      <c r="D727" s="38" t="n"/>
    </row>
    <row r="728">
      <c r="B728" s="36" t="n">
        <v>724</v>
      </c>
      <c r="C728" s="39" t="n"/>
      <c r="D728" s="40" t="n"/>
    </row>
    <row r="729">
      <c r="B729" s="36" t="n">
        <v>725</v>
      </c>
      <c r="C729" s="37" t="n"/>
      <c r="D729" s="38" t="n"/>
    </row>
    <row r="730">
      <c r="B730" s="36" t="n">
        <v>726</v>
      </c>
      <c r="C730" s="39" t="n"/>
      <c r="D730" s="40" t="n"/>
    </row>
    <row r="731">
      <c r="B731" s="36" t="n">
        <v>727</v>
      </c>
      <c r="C731" s="37" t="n"/>
      <c r="D731" s="38" t="n"/>
    </row>
    <row r="732">
      <c r="B732" s="36" t="n">
        <v>728</v>
      </c>
      <c r="C732" s="39" t="n"/>
      <c r="D732" s="40" t="n"/>
    </row>
    <row r="733">
      <c r="B733" s="36" t="n">
        <v>729</v>
      </c>
      <c r="C733" s="37" t="n"/>
      <c r="D733" s="38" t="n"/>
    </row>
    <row r="734">
      <c r="B734" s="36" t="n">
        <v>730</v>
      </c>
      <c r="C734" s="39" t="n"/>
      <c r="D734" s="40" t="n"/>
    </row>
    <row r="735">
      <c r="B735" s="36" t="n">
        <v>731</v>
      </c>
      <c r="C735" s="37" t="n"/>
      <c r="D735" s="38" t="n"/>
    </row>
    <row r="736">
      <c r="B736" s="36" t="n">
        <v>732</v>
      </c>
      <c r="C736" s="39" t="n"/>
      <c r="D736" s="40" t="n"/>
    </row>
    <row r="737">
      <c r="B737" s="36" t="n">
        <v>733</v>
      </c>
      <c r="C737" s="37" t="n"/>
      <c r="D737" s="38" t="n"/>
    </row>
    <row r="738">
      <c r="B738" s="36" t="n">
        <v>734</v>
      </c>
      <c r="C738" s="39" t="n"/>
      <c r="D738" s="40" t="n"/>
    </row>
    <row r="739">
      <c r="B739" s="36" t="n">
        <v>735</v>
      </c>
      <c r="C739" s="37" t="n"/>
      <c r="D739" s="38" t="n"/>
    </row>
    <row r="740">
      <c r="B740" s="36" t="n">
        <v>736</v>
      </c>
      <c r="C740" s="39" t="n"/>
      <c r="D740" s="40" t="n"/>
    </row>
    <row r="741">
      <c r="B741" s="36" t="n">
        <v>737</v>
      </c>
      <c r="C741" s="37" t="n"/>
      <c r="D741" s="38" t="n"/>
    </row>
    <row r="742">
      <c r="B742" s="36" t="n">
        <v>738</v>
      </c>
      <c r="C742" s="39" t="n"/>
      <c r="D742" s="40" t="n"/>
    </row>
    <row r="743">
      <c r="B743" s="36" t="n">
        <v>739</v>
      </c>
      <c r="C743" s="37" t="n"/>
      <c r="D743" s="38" t="n"/>
    </row>
    <row r="744">
      <c r="B744" s="36" t="n">
        <v>740</v>
      </c>
      <c r="C744" s="39" t="n"/>
      <c r="D744" s="40" t="n"/>
    </row>
    <row r="745">
      <c r="B745" s="36" t="n">
        <v>741</v>
      </c>
      <c r="C745" s="37" t="n"/>
      <c r="D745" s="38" t="n"/>
    </row>
    <row r="746">
      <c r="B746" s="36" t="n">
        <v>742</v>
      </c>
      <c r="C746" s="39" t="n"/>
      <c r="D746" s="40" t="n"/>
    </row>
    <row r="747">
      <c r="B747" s="36" t="n">
        <v>743</v>
      </c>
      <c r="C747" s="37" t="n"/>
      <c r="D747" s="38" t="n"/>
    </row>
    <row r="748">
      <c r="B748" s="36" t="n">
        <v>744</v>
      </c>
      <c r="C748" s="39" t="n"/>
      <c r="D748" s="40" t="n"/>
    </row>
    <row r="749">
      <c r="B749" s="36" t="n">
        <v>745</v>
      </c>
      <c r="C749" s="37" t="n"/>
      <c r="D749" s="38" t="n"/>
    </row>
    <row r="750">
      <c r="B750" s="36" t="n">
        <v>746</v>
      </c>
      <c r="C750" s="39" t="n"/>
      <c r="D750" s="40" t="n"/>
    </row>
    <row r="751">
      <c r="B751" s="36" t="n">
        <v>747</v>
      </c>
      <c r="C751" s="37" t="n"/>
      <c r="D751" s="38" t="n"/>
    </row>
    <row r="752">
      <c r="B752" s="36" t="n">
        <v>748</v>
      </c>
      <c r="C752" s="39" t="n"/>
      <c r="D752" s="40" t="n"/>
    </row>
    <row r="753">
      <c r="B753" s="36" t="n">
        <v>749</v>
      </c>
      <c r="C753" s="37" t="n"/>
      <c r="D753" s="38" t="n"/>
    </row>
    <row r="754">
      <c r="B754" s="36" t="n">
        <v>750</v>
      </c>
      <c r="C754" s="39" t="n"/>
      <c r="D754" s="40" t="n"/>
    </row>
    <row r="755">
      <c r="B755" s="36" t="n">
        <v>751</v>
      </c>
      <c r="C755" s="37" t="n"/>
      <c r="D755" s="38" t="n"/>
    </row>
    <row r="756">
      <c r="B756" s="36" t="n">
        <v>752</v>
      </c>
      <c r="C756" s="39" t="n"/>
      <c r="D756" s="40" t="n"/>
    </row>
    <row r="757">
      <c r="B757" s="36" t="n">
        <v>753</v>
      </c>
      <c r="C757" s="37" t="n"/>
      <c r="D757" s="38" t="n"/>
    </row>
    <row r="758">
      <c r="B758" s="36" t="n">
        <v>754</v>
      </c>
      <c r="C758" s="39" t="n"/>
      <c r="D758" s="40" t="n"/>
    </row>
    <row r="759">
      <c r="B759" s="36" t="n">
        <v>755</v>
      </c>
      <c r="C759" s="37" t="n"/>
      <c r="D759" s="38" t="n"/>
    </row>
    <row r="760">
      <c r="B760" s="36" t="n">
        <v>756</v>
      </c>
      <c r="C760" s="39" t="n"/>
      <c r="D760" s="40" t="n"/>
    </row>
    <row r="761">
      <c r="B761" s="36" t="n">
        <v>757</v>
      </c>
      <c r="C761" s="37" t="n"/>
      <c r="D761" s="38" t="n"/>
    </row>
    <row r="762">
      <c r="B762" s="36" t="n">
        <v>758</v>
      </c>
      <c r="C762" s="39" t="n"/>
      <c r="D762" s="40" t="n"/>
    </row>
    <row r="763">
      <c r="B763" s="36" t="n">
        <v>759</v>
      </c>
      <c r="C763" s="37" t="n"/>
      <c r="D763" s="38" t="n"/>
    </row>
    <row r="764">
      <c r="B764" s="36" t="n">
        <v>760</v>
      </c>
      <c r="C764" s="39" t="n"/>
      <c r="D764" s="40" t="n"/>
    </row>
    <row r="765">
      <c r="B765" s="36" t="n">
        <v>761</v>
      </c>
      <c r="C765" s="37" t="n"/>
      <c r="D765" s="38" t="n"/>
    </row>
    <row r="766">
      <c r="B766" s="36" t="n">
        <v>762</v>
      </c>
      <c r="C766" s="39" t="n"/>
      <c r="D766" s="40" t="n"/>
    </row>
    <row r="767">
      <c r="B767" s="36" t="n">
        <v>763</v>
      </c>
      <c r="C767" s="37" t="n"/>
      <c r="D767" s="38" t="n"/>
    </row>
    <row r="768">
      <c r="B768" s="36" t="n">
        <v>764</v>
      </c>
      <c r="C768" s="39" t="n"/>
      <c r="D768" s="40" t="n"/>
    </row>
    <row r="769">
      <c r="B769" s="36" t="n">
        <v>765</v>
      </c>
      <c r="C769" s="37" t="n"/>
      <c r="D769" s="38" t="n"/>
    </row>
    <row r="770">
      <c r="B770" s="36" t="n">
        <v>766</v>
      </c>
      <c r="C770" s="39" t="n"/>
      <c r="D770" s="40" t="n"/>
    </row>
    <row r="771">
      <c r="B771" s="36" t="n">
        <v>767</v>
      </c>
      <c r="C771" s="37" t="n"/>
      <c r="D771" s="38" t="n"/>
    </row>
    <row r="772">
      <c r="B772" s="36" t="n">
        <v>768</v>
      </c>
      <c r="C772" s="39" t="n"/>
      <c r="D772" s="40" t="n"/>
    </row>
    <row r="773">
      <c r="B773" s="36" t="n">
        <v>769</v>
      </c>
      <c r="C773" s="37" t="n"/>
      <c r="D773" s="38" t="n"/>
    </row>
    <row r="774">
      <c r="B774" s="36" t="n">
        <v>770</v>
      </c>
      <c r="C774" s="39" t="n"/>
      <c r="D774" s="40" t="n"/>
    </row>
    <row r="775">
      <c r="B775" s="36" t="n">
        <v>771</v>
      </c>
      <c r="C775" s="37" t="n"/>
      <c r="D775" s="38" t="n"/>
    </row>
    <row r="776">
      <c r="B776" s="36" t="n">
        <v>772</v>
      </c>
      <c r="C776" s="39" t="n"/>
      <c r="D776" s="40" t="n"/>
    </row>
    <row r="777">
      <c r="B777" s="36" t="n">
        <v>773</v>
      </c>
      <c r="C777" s="37" t="n"/>
      <c r="D777" s="38" t="n"/>
    </row>
    <row r="778">
      <c r="B778" s="36" t="n">
        <v>774</v>
      </c>
      <c r="C778" s="39" t="n"/>
      <c r="D778" s="40" t="n"/>
    </row>
    <row r="779">
      <c r="B779" s="36" t="n">
        <v>775</v>
      </c>
      <c r="C779" s="37" t="n"/>
      <c r="D779" s="38" t="n"/>
    </row>
    <row r="780">
      <c r="B780" s="36" t="n">
        <v>776</v>
      </c>
      <c r="C780" s="39" t="n"/>
      <c r="D780" s="40" t="n"/>
    </row>
    <row r="781">
      <c r="B781" s="36" t="n">
        <v>777</v>
      </c>
      <c r="C781" s="37" t="n"/>
      <c r="D781" s="38" t="n"/>
    </row>
    <row r="782">
      <c r="B782" s="36" t="n">
        <v>778</v>
      </c>
      <c r="C782" s="39" t="n"/>
      <c r="D782" s="40" t="n"/>
    </row>
    <row r="783">
      <c r="B783" s="36" t="n">
        <v>779</v>
      </c>
      <c r="C783" s="37" t="n"/>
      <c r="D783" s="38" t="n"/>
    </row>
    <row r="784">
      <c r="B784" s="36" t="n">
        <v>780</v>
      </c>
      <c r="C784" s="39" t="n"/>
      <c r="D784" s="40" t="n"/>
    </row>
    <row r="785">
      <c r="B785" s="36" t="n">
        <v>781</v>
      </c>
      <c r="C785" s="37" t="n"/>
      <c r="D785" s="38" t="n"/>
    </row>
    <row r="786">
      <c r="B786" s="36" t="n">
        <v>782</v>
      </c>
      <c r="C786" s="39" t="n"/>
      <c r="D786" s="40" t="n"/>
    </row>
    <row r="787">
      <c r="B787" s="36" t="n">
        <v>783</v>
      </c>
      <c r="C787" s="37" t="n"/>
      <c r="D787" s="38" t="n"/>
    </row>
    <row r="788">
      <c r="B788" s="36" t="n">
        <v>784</v>
      </c>
      <c r="C788" s="39" t="n"/>
      <c r="D788" s="40" t="n"/>
    </row>
    <row r="789">
      <c r="B789" s="36" t="n">
        <v>785</v>
      </c>
      <c r="C789" s="37" t="n"/>
      <c r="D789" s="38" t="n"/>
    </row>
    <row r="790">
      <c r="B790" s="36" t="n">
        <v>786</v>
      </c>
      <c r="C790" s="39" t="n"/>
      <c r="D790" s="40" t="n"/>
    </row>
    <row r="791">
      <c r="B791" s="36" t="n">
        <v>787</v>
      </c>
      <c r="C791" s="37" t="n"/>
      <c r="D791" s="38" t="n"/>
    </row>
    <row r="792">
      <c r="B792" s="36" t="n">
        <v>788</v>
      </c>
      <c r="C792" s="39" t="n"/>
      <c r="D792" s="40" t="n"/>
    </row>
    <row r="793">
      <c r="B793" s="36" t="n">
        <v>789</v>
      </c>
      <c r="C793" s="37" t="n"/>
      <c r="D793" s="38" t="n"/>
    </row>
    <row r="794">
      <c r="B794" s="36" t="n">
        <v>790</v>
      </c>
      <c r="C794" s="39" t="n"/>
      <c r="D794" s="40" t="n"/>
    </row>
    <row r="795">
      <c r="B795" s="36" t="n">
        <v>791</v>
      </c>
      <c r="C795" s="37" t="n"/>
      <c r="D795" s="38" t="n"/>
    </row>
    <row r="796">
      <c r="B796" s="36" t="n">
        <v>792</v>
      </c>
      <c r="C796" s="39" t="n"/>
      <c r="D796" s="40" t="n"/>
    </row>
    <row r="797">
      <c r="B797" s="36" t="n">
        <v>793</v>
      </c>
      <c r="C797" s="37" t="n"/>
      <c r="D797" s="38" t="n"/>
    </row>
    <row r="798">
      <c r="B798" s="36" t="n">
        <v>794</v>
      </c>
      <c r="C798" s="39" t="n"/>
      <c r="D798" s="40" t="n"/>
    </row>
    <row r="799">
      <c r="B799" s="36" t="n">
        <v>795</v>
      </c>
      <c r="C799" s="37" t="n"/>
      <c r="D799" s="38" t="n"/>
    </row>
    <row r="800">
      <c r="B800" s="36" t="n">
        <v>796</v>
      </c>
      <c r="C800" s="39" t="n"/>
      <c r="D800" s="40" t="n"/>
    </row>
    <row r="801">
      <c r="B801" s="36" t="n">
        <v>797</v>
      </c>
      <c r="C801" s="37" t="n"/>
      <c r="D801" s="38" t="n"/>
    </row>
    <row r="802">
      <c r="B802" s="36" t="n">
        <v>798</v>
      </c>
      <c r="C802" s="39" t="n"/>
      <c r="D802" s="40" t="n"/>
    </row>
    <row r="803">
      <c r="B803" s="36" t="n">
        <v>799</v>
      </c>
      <c r="C803" s="37" t="n"/>
      <c r="D803" s="38" t="n"/>
    </row>
    <row r="804">
      <c r="B804" s="36" t="n">
        <v>800</v>
      </c>
      <c r="C804" s="39" t="n"/>
      <c r="D804" s="40" t="n"/>
    </row>
    <row r="805">
      <c r="B805" s="36" t="n">
        <v>801</v>
      </c>
      <c r="C805" s="37" t="n"/>
      <c r="D805" s="38" t="n"/>
    </row>
    <row r="806">
      <c r="B806" s="36" t="n">
        <v>802</v>
      </c>
      <c r="C806" s="39" t="n"/>
      <c r="D806" s="40" t="n"/>
    </row>
    <row r="807">
      <c r="B807" s="36" t="n">
        <v>803</v>
      </c>
      <c r="C807" s="37" t="n"/>
      <c r="D807" s="38" t="n"/>
    </row>
    <row r="808">
      <c r="B808" s="36" t="n">
        <v>804</v>
      </c>
      <c r="C808" s="39" t="n"/>
      <c r="D808" s="40" t="n"/>
    </row>
    <row r="809">
      <c r="B809" s="36" t="n">
        <v>805</v>
      </c>
      <c r="C809" s="37" t="n"/>
      <c r="D809" s="38" t="n"/>
    </row>
    <row r="810">
      <c r="B810" s="36" t="n">
        <v>806</v>
      </c>
      <c r="C810" s="39" t="n"/>
      <c r="D810" s="40" t="n"/>
    </row>
    <row r="811">
      <c r="B811" s="36" t="n">
        <v>807</v>
      </c>
      <c r="C811" s="37" t="n"/>
      <c r="D811" s="38" t="n"/>
    </row>
    <row r="812">
      <c r="B812" s="36" t="n">
        <v>808</v>
      </c>
      <c r="C812" s="39" t="n"/>
      <c r="D812" s="40" t="n"/>
    </row>
    <row r="813">
      <c r="B813" s="36" t="n">
        <v>809</v>
      </c>
      <c r="C813" s="37" t="n"/>
      <c r="D813" s="38" t="n"/>
    </row>
    <row r="814">
      <c r="B814" s="36" t="n">
        <v>810</v>
      </c>
      <c r="C814" s="39" t="n"/>
      <c r="D814" s="40" t="n"/>
    </row>
    <row r="815">
      <c r="B815" s="36" t="n">
        <v>811</v>
      </c>
      <c r="C815" s="37" t="n"/>
      <c r="D815" s="38" t="n"/>
    </row>
    <row r="816">
      <c r="B816" s="36" t="n">
        <v>812</v>
      </c>
      <c r="C816" s="39" t="n"/>
      <c r="D816" s="40" t="n"/>
    </row>
    <row r="817">
      <c r="B817" s="36" t="n">
        <v>813</v>
      </c>
      <c r="C817" s="37" t="n"/>
      <c r="D817" s="38" t="n"/>
    </row>
    <row r="818">
      <c r="B818" s="36" t="n">
        <v>814</v>
      </c>
      <c r="C818" s="39" t="n"/>
      <c r="D818" s="40" t="n"/>
    </row>
    <row r="819">
      <c r="B819" s="36" t="n">
        <v>815</v>
      </c>
      <c r="C819" s="37" t="n"/>
      <c r="D819" s="38" t="n"/>
    </row>
    <row r="820">
      <c r="B820" s="36" t="n">
        <v>816</v>
      </c>
      <c r="C820" s="39" t="n"/>
      <c r="D820" s="40" t="n"/>
    </row>
    <row r="821">
      <c r="B821" s="36" t="n">
        <v>817</v>
      </c>
      <c r="C821" s="37" t="n"/>
      <c r="D821" s="38" t="n"/>
    </row>
    <row r="822">
      <c r="B822" s="36" t="n">
        <v>818</v>
      </c>
      <c r="C822" s="39" t="n"/>
      <c r="D822" s="40" t="n"/>
    </row>
    <row r="823">
      <c r="B823" s="36" t="n">
        <v>819</v>
      </c>
      <c r="C823" s="37" t="n"/>
      <c r="D823" s="38" t="n"/>
    </row>
    <row r="824">
      <c r="B824" s="36" t="n">
        <v>820</v>
      </c>
      <c r="C824" s="39" t="n"/>
      <c r="D824" s="40" t="n"/>
    </row>
    <row r="825">
      <c r="B825" s="36" t="n">
        <v>821</v>
      </c>
      <c r="C825" s="37" t="n"/>
      <c r="D825" s="38" t="n"/>
    </row>
    <row r="826">
      <c r="B826" s="36" t="n">
        <v>822</v>
      </c>
      <c r="C826" s="39" t="n"/>
      <c r="D826" s="40" t="n"/>
    </row>
    <row r="827">
      <c r="B827" s="36" t="n">
        <v>823</v>
      </c>
      <c r="C827" s="37" t="n"/>
      <c r="D827" s="38" t="n"/>
    </row>
    <row r="828">
      <c r="B828" s="36" t="n">
        <v>824</v>
      </c>
      <c r="C828" s="39" t="n"/>
      <c r="D828" s="40" t="n"/>
    </row>
    <row r="829">
      <c r="B829" s="36" t="n">
        <v>825</v>
      </c>
      <c r="C829" s="37" t="n"/>
      <c r="D829" s="38" t="n"/>
    </row>
    <row r="830">
      <c r="B830" s="36" t="n">
        <v>826</v>
      </c>
      <c r="C830" s="39" t="n"/>
      <c r="D830" s="40" t="n"/>
    </row>
    <row r="831">
      <c r="B831" s="36" t="n">
        <v>827</v>
      </c>
      <c r="C831" s="37" t="n"/>
      <c r="D831" s="38" t="n"/>
    </row>
    <row r="832">
      <c r="B832" s="36" t="n">
        <v>828</v>
      </c>
      <c r="C832" s="39" t="n"/>
      <c r="D832" s="40" t="n"/>
    </row>
    <row r="833">
      <c r="B833" s="36" t="n">
        <v>829</v>
      </c>
      <c r="C833" s="37" t="n"/>
      <c r="D833" s="38" t="n"/>
    </row>
    <row r="834">
      <c r="B834" s="36" t="n">
        <v>830</v>
      </c>
      <c r="C834" s="39" t="n"/>
      <c r="D834" s="40" t="n"/>
    </row>
    <row r="835">
      <c r="B835" s="36" t="n">
        <v>831</v>
      </c>
      <c r="C835" s="37" t="n"/>
      <c r="D835" s="38" t="n"/>
    </row>
    <row r="836">
      <c r="B836" s="36" t="n">
        <v>832</v>
      </c>
      <c r="C836" s="39" t="n"/>
      <c r="D836" s="40" t="n"/>
    </row>
    <row r="837">
      <c r="B837" s="36" t="n">
        <v>833</v>
      </c>
      <c r="C837" s="37" t="n"/>
      <c r="D837" s="38" t="n"/>
    </row>
    <row r="838">
      <c r="B838" s="36" t="n">
        <v>834</v>
      </c>
      <c r="C838" s="39" t="n"/>
      <c r="D838" s="40" t="n"/>
    </row>
    <row r="839">
      <c r="B839" s="36" t="n">
        <v>835</v>
      </c>
      <c r="C839" s="37" t="n"/>
      <c r="D839" s="38" t="n"/>
    </row>
    <row r="840">
      <c r="B840" s="36" t="n">
        <v>836</v>
      </c>
      <c r="C840" s="39" t="n"/>
      <c r="D840" s="40" t="n"/>
    </row>
    <row r="841">
      <c r="B841" s="36" t="n">
        <v>837</v>
      </c>
      <c r="C841" s="37" t="n"/>
      <c r="D841" s="38" t="n"/>
    </row>
    <row r="842">
      <c r="B842" s="36" t="n">
        <v>838</v>
      </c>
      <c r="C842" s="39" t="n"/>
      <c r="D842" s="40" t="n"/>
    </row>
    <row r="843">
      <c r="B843" s="36" t="n">
        <v>839</v>
      </c>
      <c r="C843" s="37" t="n"/>
      <c r="D843" s="38" t="n"/>
    </row>
    <row r="844">
      <c r="B844" s="36" t="n">
        <v>840</v>
      </c>
      <c r="C844" s="39" t="n"/>
      <c r="D844" s="40" t="n"/>
    </row>
    <row r="845">
      <c r="B845" s="36" t="n">
        <v>841</v>
      </c>
      <c r="C845" s="37" t="n"/>
      <c r="D845" s="38" t="n"/>
    </row>
    <row r="846">
      <c r="B846" s="36" t="n">
        <v>842</v>
      </c>
      <c r="C846" s="39" t="n"/>
      <c r="D846" s="40" t="n"/>
    </row>
    <row r="847">
      <c r="B847" s="36" t="n">
        <v>843</v>
      </c>
      <c r="C847" s="37" t="n"/>
      <c r="D847" s="38" t="n"/>
    </row>
    <row r="848">
      <c r="B848" s="36" t="n">
        <v>844</v>
      </c>
      <c r="C848" s="39" t="n"/>
      <c r="D848" s="40" t="n"/>
    </row>
    <row r="849">
      <c r="B849" s="36" t="n">
        <v>845</v>
      </c>
      <c r="C849" s="37" t="n"/>
      <c r="D849" s="38" t="n"/>
    </row>
    <row r="850">
      <c r="B850" s="36" t="n">
        <v>846</v>
      </c>
      <c r="C850" s="39" t="n"/>
      <c r="D850" s="40" t="n"/>
    </row>
    <row r="851">
      <c r="B851" s="36" t="n">
        <v>847</v>
      </c>
      <c r="C851" s="37" t="n"/>
      <c r="D851" s="38" t="n"/>
    </row>
    <row r="852">
      <c r="B852" s="36" t="n">
        <v>848</v>
      </c>
      <c r="C852" s="39" t="n"/>
      <c r="D852" s="40" t="n"/>
    </row>
    <row r="853">
      <c r="B853" s="36" t="n">
        <v>849</v>
      </c>
      <c r="C853" s="37" t="n"/>
      <c r="D853" s="38" t="n"/>
    </row>
    <row r="854">
      <c r="B854" s="36" t="n">
        <v>850</v>
      </c>
      <c r="C854" s="39" t="n"/>
      <c r="D854" s="40" t="n"/>
    </row>
    <row r="855">
      <c r="B855" s="36" t="n">
        <v>851</v>
      </c>
      <c r="C855" s="37" t="n"/>
      <c r="D855" s="38" t="n"/>
    </row>
    <row r="856">
      <c r="B856" s="36" t="n">
        <v>852</v>
      </c>
      <c r="C856" s="39" t="n"/>
      <c r="D856" s="40" t="n"/>
    </row>
    <row r="857">
      <c r="B857" s="36" t="n">
        <v>853</v>
      </c>
      <c r="C857" s="37" t="n"/>
      <c r="D857" s="38" t="n"/>
    </row>
    <row r="858">
      <c r="B858" s="36" t="n">
        <v>854</v>
      </c>
      <c r="C858" s="39" t="n"/>
      <c r="D858" s="40" t="n"/>
    </row>
    <row r="859">
      <c r="B859" s="36" t="n">
        <v>855</v>
      </c>
      <c r="C859" s="37" t="n"/>
      <c r="D859" s="38" t="n"/>
    </row>
    <row r="860">
      <c r="B860" s="36" t="n">
        <v>856</v>
      </c>
      <c r="C860" s="39" t="n"/>
      <c r="D860" s="40" t="n"/>
    </row>
    <row r="861">
      <c r="B861" s="36" t="n">
        <v>857</v>
      </c>
      <c r="C861" s="37" t="n"/>
      <c r="D861" s="38" t="n"/>
    </row>
    <row r="862">
      <c r="B862" s="36" t="n">
        <v>858</v>
      </c>
      <c r="C862" s="39" t="n"/>
      <c r="D862" s="40" t="n"/>
    </row>
    <row r="863">
      <c r="B863" s="36" t="n">
        <v>859</v>
      </c>
      <c r="C863" s="37" t="n"/>
      <c r="D863" s="38" t="n"/>
    </row>
    <row r="864">
      <c r="B864" s="36" t="n">
        <v>860</v>
      </c>
      <c r="C864" s="39" t="n"/>
      <c r="D864" s="40" t="n"/>
    </row>
    <row r="865">
      <c r="B865" s="36" t="n">
        <v>861</v>
      </c>
      <c r="C865" s="37" t="n"/>
      <c r="D865" s="38" t="n"/>
    </row>
    <row r="866">
      <c r="B866" s="36" t="n">
        <v>862</v>
      </c>
      <c r="C866" s="39" t="n"/>
      <c r="D866" s="40" t="n"/>
    </row>
    <row r="867">
      <c r="B867" s="36" t="n">
        <v>863</v>
      </c>
      <c r="C867" s="37" t="n"/>
      <c r="D867" s="38" t="n"/>
    </row>
    <row r="868">
      <c r="B868" s="36" t="n">
        <v>864</v>
      </c>
      <c r="C868" s="39" t="n"/>
      <c r="D868" s="40" t="n"/>
    </row>
    <row r="869">
      <c r="B869" s="36" t="n">
        <v>865</v>
      </c>
      <c r="C869" s="37" t="n"/>
      <c r="D869" s="38" t="n"/>
    </row>
    <row r="870">
      <c r="B870" s="36" t="n">
        <v>866</v>
      </c>
      <c r="C870" s="39" t="n"/>
      <c r="D870" s="40" t="n"/>
    </row>
    <row r="871">
      <c r="B871" s="36" t="n">
        <v>867</v>
      </c>
      <c r="C871" s="37" t="n"/>
      <c r="D871" s="38" t="n"/>
    </row>
    <row r="872">
      <c r="B872" s="36" t="n">
        <v>868</v>
      </c>
      <c r="C872" s="39" t="n"/>
      <c r="D872" s="40" t="n"/>
    </row>
    <row r="873">
      <c r="B873" s="36" t="n">
        <v>869</v>
      </c>
      <c r="C873" s="37" t="n"/>
      <c r="D873" s="38" t="n"/>
    </row>
    <row r="874">
      <c r="B874" s="36" t="n">
        <v>870</v>
      </c>
      <c r="C874" s="39" t="n"/>
      <c r="D874" s="40" t="n"/>
    </row>
    <row r="875">
      <c r="B875" s="36" t="n">
        <v>871</v>
      </c>
      <c r="C875" s="37" t="n"/>
      <c r="D875" s="38" t="n"/>
    </row>
    <row r="876">
      <c r="B876" s="36" t="n">
        <v>872</v>
      </c>
      <c r="C876" s="39" t="n"/>
      <c r="D876" s="40" t="n"/>
    </row>
    <row r="877">
      <c r="B877" s="36" t="n">
        <v>873</v>
      </c>
      <c r="C877" s="37" t="n"/>
      <c r="D877" s="38" t="n"/>
    </row>
    <row r="878">
      <c r="B878" s="36" t="n">
        <v>874</v>
      </c>
      <c r="C878" s="39" t="n"/>
      <c r="D878" s="40" t="n"/>
    </row>
    <row r="879">
      <c r="B879" s="36" t="n">
        <v>875</v>
      </c>
      <c r="C879" s="37" t="n"/>
      <c r="D879" s="38" t="n"/>
    </row>
    <row r="880">
      <c r="B880" s="36" t="n">
        <v>876</v>
      </c>
      <c r="C880" s="39" t="n"/>
      <c r="D880" s="40" t="n"/>
    </row>
    <row r="881">
      <c r="B881" s="36" t="n">
        <v>877</v>
      </c>
      <c r="C881" s="37" t="n"/>
      <c r="D881" s="38" t="n"/>
    </row>
    <row r="882">
      <c r="B882" s="36" t="n">
        <v>878</v>
      </c>
      <c r="C882" s="39" t="n"/>
      <c r="D882" s="40" t="n"/>
    </row>
    <row r="883">
      <c r="B883" s="36" t="n">
        <v>879</v>
      </c>
      <c r="C883" s="37" t="n"/>
      <c r="D883" s="38" t="n"/>
    </row>
    <row r="884">
      <c r="B884" s="36" t="n">
        <v>880</v>
      </c>
      <c r="C884" s="39" t="n"/>
      <c r="D884" s="40" t="n"/>
    </row>
    <row r="885">
      <c r="B885" s="36" t="n">
        <v>881</v>
      </c>
      <c r="C885" s="37" t="n"/>
      <c r="D885" s="38" t="n"/>
    </row>
    <row r="886">
      <c r="B886" s="36" t="n">
        <v>882</v>
      </c>
      <c r="C886" s="39" t="n"/>
      <c r="D886" s="40" t="n"/>
    </row>
    <row r="887">
      <c r="B887" s="36" t="n">
        <v>883</v>
      </c>
      <c r="C887" s="37" t="n"/>
      <c r="D887" s="38" t="n"/>
    </row>
    <row r="888">
      <c r="B888" s="36" t="n">
        <v>884</v>
      </c>
      <c r="C888" s="39" t="n"/>
      <c r="D888" s="40" t="n"/>
    </row>
    <row r="889">
      <c r="B889" s="36" t="n">
        <v>885</v>
      </c>
      <c r="C889" s="37" t="n"/>
      <c r="D889" s="38" t="n"/>
    </row>
    <row r="890">
      <c r="B890" s="36" t="n">
        <v>886</v>
      </c>
      <c r="C890" s="39" t="n"/>
      <c r="D890" s="40" t="n"/>
    </row>
    <row r="891">
      <c r="B891" s="36" t="n">
        <v>887</v>
      </c>
      <c r="C891" s="37" t="n"/>
      <c r="D891" s="38" t="n"/>
    </row>
    <row r="892">
      <c r="B892" s="36" t="n">
        <v>888</v>
      </c>
      <c r="C892" s="39" t="n"/>
      <c r="D892" s="40" t="n"/>
    </row>
    <row r="893">
      <c r="B893" s="36" t="n">
        <v>889</v>
      </c>
      <c r="C893" s="37" t="n"/>
      <c r="D893" s="38" t="n"/>
    </row>
    <row r="894">
      <c r="B894" s="36" t="n">
        <v>890</v>
      </c>
      <c r="C894" s="39" t="n"/>
      <c r="D894" s="40" t="n"/>
    </row>
    <row r="895">
      <c r="B895" s="36" t="n">
        <v>891</v>
      </c>
      <c r="C895" s="37" t="n"/>
      <c r="D895" s="38" t="n"/>
    </row>
    <row r="896">
      <c r="B896" s="36" t="n">
        <v>892</v>
      </c>
      <c r="C896" s="39" t="n"/>
      <c r="D896" s="40" t="n"/>
    </row>
    <row r="897">
      <c r="B897" s="36" t="n">
        <v>893</v>
      </c>
      <c r="C897" s="37" t="n"/>
      <c r="D897" s="38" t="n"/>
    </row>
    <row r="898">
      <c r="B898" s="36" t="n">
        <v>894</v>
      </c>
      <c r="C898" s="39" t="n"/>
      <c r="D898" s="40" t="n"/>
    </row>
    <row r="899">
      <c r="B899" s="36" t="n">
        <v>895</v>
      </c>
      <c r="C899" s="37" t="n"/>
      <c r="D899" s="38" t="n"/>
    </row>
    <row r="900">
      <c r="B900" s="36" t="n">
        <v>896</v>
      </c>
      <c r="C900" s="39" t="n"/>
      <c r="D900" s="40" t="n"/>
    </row>
    <row r="901">
      <c r="B901" s="36" t="n">
        <v>897</v>
      </c>
      <c r="C901" s="37" t="n"/>
      <c r="D901" s="38" t="n"/>
    </row>
    <row r="902">
      <c r="B902" s="36" t="n">
        <v>898</v>
      </c>
      <c r="C902" s="39" t="n"/>
      <c r="D902" s="40" t="n"/>
    </row>
    <row r="903">
      <c r="B903" s="36" t="n">
        <v>899</v>
      </c>
      <c r="C903" s="37" t="n"/>
      <c r="D903" s="38" t="n"/>
    </row>
    <row r="904">
      <c r="B904" s="36" t="n">
        <v>900</v>
      </c>
      <c r="C904" s="39" t="n"/>
      <c r="D904" s="40" t="n"/>
    </row>
    <row r="905">
      <c r="B905" s="36" t="n">
        <v>901</v>
      </c>
      <c r="C905" s="37" t="n"/>
      <c r="D905" s="38" t="n"/>
    </row>
    <row r="906">
      <c r="B906" s="36" t="n">
        <v>902</v>
      </c>
      <c r="C906" s="39" t="n"/>
      <c r="D906" s="40" t="n"/>
    </row>
    <row r="907">
      <c r="B907" s="36" t="n">
        <v>903</v>
      </c>
      <c r="C907" s="37" t="n"/>
      <c r="D907" s="38" t="n"/>
    </row>
    <row r="908">
      <c r="B908" s="36" t="n">
        <v>904</v>
      </c>
      <c r="C908" s="39" t="n"/>
      <c r="D908" s="40" t="n"/>
    </row>
    <row r="909">
      <c r="B909" s="36" t="n">
        <v>905</v>
      </c>
      <c r="C909" s="37" t="n"/>
      <c r="D909" s="38" t="n"/>
    </row>
    <row r="910">
      <c r="B910" s="36" t="n">
        <v>906</v>
      </c>
      <c r="C910" s="39" t="n"/>
      <c r="D910" s="40" t="n"/>
    </row>
    <row r="911">
      <c r="B911" s="36" t="n">
        <v>907</v>
      </c>
      <c r="C911" s="37" t="n"/>
      <c r="D911" s="38" t="n"/>
    </row>
    <row r="912">
      <c r="B912" s="36" t="n">
        <v>908</v>
      </c>
      <c r="C912" s="39" t="n"/>
      <c r="D912" s="40" t="n"/>
    </row>
    <row r="913">
      <c r="B913" s="36" t="n">
        <v>909</v>
      </c>
      <c r="C913" s="37" t="n"/>
      <c r="D913" s="38" t="n"/>
    </row>
    <row r="914">
      <c r="B914" s="36" t="n">
        <v>910</v>
      </c>
      <c r="C914" s="39" t="n"/>
      <c r="D914" s="40" t="n"/>
    </row>
    <row r="915">
      <c r="B915" s="36" t="n">
        <v>911</v>
      </c>
      <c r="C915" s="37" t="n"/>
      <c r="D915" s="38" t="n"/>
    </row>
    <row r="916">
      <c r="B916" s="36" t="n">
        <v>912</v>
      </c>
      <c r="C916" s="39" t="n"/>
      <c r="D916" s="40" t="n"/>
    </row>
    <row r="917">
      <c r="B917" s="36" t="n">
        <v>913</v>
      </c>
      <c r="C917" s="37" t="n"/>
      <c r="D917" s="38" t="n"/>
    </row>
    <row r="918">
      <c r="B918" s="36" t="n">
        <v>914</v>
      </c>
      <c r="C918" s="39" t="n"/>
      <c r="D918" s="40" t="n"/>
    </row>
    <row r="919">
      <c r="B919" s="36" t="n">
        <v>915</v>
      </c>
      <c r="C919" s="37" t="n"/>
      <c r="D919" s="38" t="n"/>
    </row>
    <row r="920">
      <c r="B920" s="36" t="n">
        <v>916</v>
      </c>
      <c r="C920" s="39" t="n"/>
      <c r="D920" s="40" t="n"/>
    </row>
    <row r="921">
      <c r="B921" s="36" t="n">
        <v>917</v>
      </c>
      <c r="C921" s="37" t="n"/>
      <c r="D921" s="38" t="n"/>
    </row>
    <row r="922">
      <c r="B922" s="36" t="n">
        <v>918</v>
      </c>
      <c r="C922" s="39" t="n"/>
      <c r="D922" s="40" t="n"/>
    </row>
    <row r="923">
      <c r="B923" s="36" t="n">
        <v>919</v>
      </c>
      <c r="C923" s="37" t="n"/>
      <c r="D923" s="38" t="n"/>
    </row>
    <row r="924">
      <c r="B924" s="36" t="n">
        <v>920</v>
      </c>
      <c r="C924" s="39" t="n"/>
      <c r="D924" s="40" t="n"/>
    </row>
    <row r="925">
      <c r="B925" s="36" t="n">
        <v>921</v>
      </c>
      <c r="C925" s="37" t="n"/>
      <c r="D925" s="38" t="n"/>
    </row>
    <row r="926">
      <c r="B926" s="36" t="n">
        <v>922</v>
      </c>
      <c r="C926" s="39" t="n"/>
      <c r="D926" s="40" t="n"/>
    </row>
    <row r="927">
      <c r="B927" s="36" t="n">
        <v>923</v>
      </c>
      <c r="C927" s="37" t="n"/>
      <c r="D927" s="38" t="n"/>
    </row>
    <row r="928">
      <c r="B928" s="36" t="n">
        <v>924</v>
      </c>
      <c r="C928" s="39" t="n"/>
      <c r="D928" s="40" t="n"/>
    </row>
    <row r="929">
      <c r="B929" s="36" t="n">
        <v>925</v>
      </c>
      <c r="C929" s="37" t="n"/>
      <c r="D929" s="38" t="n"/>
    </row>
    <row r="930">
      <c r="B930" s="36" t="n">
        <v>926</v>
      </c>
      <c r="C930" s="39" t="n"/>
      <c r="D930" s="40" t="n"/>
    </row>
    <row r="931">
      <c r="B931" s="36" t="n">
        <v>927</v>
      </c>
      <c r="C931" s="37" t="n"/>
      <c r="D931" s="38" t="n"/>
    </row>
    <row r="932">
      <c r="B932" s="36" t="n">
        <v>928</v>
      </c>
      <c r="C932" s="39" t="n"/>
      <c r="D932" s="40" t="n"/>
    </row>
    <row r="933">
      <c r="B933" s="36" t="n">
        <v>929</v>
      </c>
      <c r="C933" s="37" t="n"/>
      <c r="D933" s="38" t="n"/>
    </row>
    <row r="934">
      <c r="B934" s="36" t="n">
        <v>930</v>
      </c>
      <c r="C934" s="39" t="n"/>
      <c r="D934" s="40" t="n"/>
    </row>
    <row r="935">
      <c r="B935" s="36" t="n">
        <v>931</v>
      </c>
      <c r="C935" s="37" t="n"/>
      <c r="D935" s="38" t="n"/>
    </row>
    <row r="936">
      <c r="B936" s="36" t="n">
        <v>932</v>
      </c>
      <c r="C936" s="39" t="n"/>
      <c r="D936" s="40" t="n"/>
    </row>
    <row r="937">
      <c r="B937" s="36" t="n">
        <v>933</v>
      </c>
      <c r="C937" s="37" t="n"/>
      <c r="D937" s="38" t="n"/>
    </row>
    <row r="938">
      <c r="B938" s="36" t="n">
        <v>934</v>
      </c>
      <c r="C938" s="39" t="n"/>
      <c r="D938" s="40" t="n"/>
    </row>
    <row r="939">
      <c r="B939" s="36" t="n">
        <v>935</v>
      </c>
      <c r="C939" s="37" t="n"/>
      <c r="D939" s="38" t="n"/>
    </row>
    <row r="940">
      <c r="B940" s="36" t="n">
        <v>936</v>
      </c>
      <c r="C940" s="39" t="n"/>
      <c r="D940" s="40" t="n"/>
    </row>
    <row r="941">
      <c r="B941" s="36" t="n">
        <v>937</v>
      </c>
      <c r="C941" s="37" t="n"/>
      <c r="D941" s="38" t="n"/>
    </row>
    <row r="942">
      <c r="B942" s="36" t="n">
        <v>938</v>
      </c>
      <c r="C942" s="39" t="n"/>
      <c r="D942" s="40" t="n"/>
    </row>
    <row r="943">
      <c r="B943" s="36" t="n">
        <v>939</v>
      </c>
      <c r="C943" s="37" t="n"/>
      <c r="D943" s="38" t="n"/>
    </row>
    <row r="944">
      <c r="B944" s="36" t="n">
        <v>940</v>
      </c>
      <c r="C944" s="39" t="n"/>
      <c r="D944" s="40" t="n"/>
    </row>
    <row r="945">
      <c r="B945" s="36" t="n">
        <v>941</v>
      </c>
      <c r="C945" s="37" t="n"/>
      <c r="D945" s="38" t="n"/>
    </row>
    <row r="946">
      <c r="B946" s="36" t="n">
        <v>942</v>
      </c>
      <c r="C946" s="39" t="n"/>
      <c r="D946" s="40" t="n"/>
    </row>
    <row r="947">
      <c r="B947" s="36" t="n">
        <v>943</v>
      </c>
      <c r="C947" s="37" t="n"/>
      <c r="D947" s="38" t="n"/>
    </row>
    <row r="948">
      <c r="B948" s="36" t="n">
        <v>944</v>
      </c>
      <c r="C948" s="39" t="n"/>
      <c r="D948" s="40" t="n"/>
    </row>
    <row r="949">
      <c r="B949" s="36" t="n">
        <v>945</v>
      </c>
      <c r="C949" s="37" t="n"/>
      <c r="D949" s="38" t="n"/>
    </row>
    <row r="950">
      <c r="B950" s="36" t="n">
        <v>946</v>
      </c>
      <c r="C950" s="39" t="n"/>
      <c r="D950" s="40" t="n"/>
    </row>
    <row r="951">
      <c r="B951" s="36" t="n">
        <v>947</v>
      </c>
      <c r="C951" s="37" t="n"/>
      <c r="D951" s="38" t="n"/>
    </row>
    <row r="952">
      <c r="B952" s="36" t="n">
        <v>948</v>
      </c>
      <c r="C952" s="39" t="n"/>
      <c r="D952" s="40" t="n"/>
    </row>
    <row r="953">
      <c r="B953" s="36" t="n">
        <v>949</v>
      </c>
      <c r="C953" s="37" t="n"/>
      <c r="D953" s="38" t="n"/>
    </row>
    <row r="954">
      <c r="B954" s="36" t="n">
        <v>950</v>
      </c>
      <c r="C954" s="39" t="n"/>
      <c r="D954" s="40" t="n"/>
    </row>
    <row r="955">
      <c r="B955" s="36" t="n">
        <v>951</v>
      </c>
      <c r="C955" s="37" t="n"/>
      <c r="D955" s="38" t="n"/>
    </row>
    <row r="956">
      <c r="B956" s="36" t="n">
        <v>952</v>
      </c>
      <c r="C956" s="39" t="n"/>
      <c r="D956" s="40" t="n"/>
    </row>
    <row r="957">
      <c r="B957" s="36" t="n">
        <v>953</v>
      </c>
      <c r="C957" s="37" t="n"/>
      <c r="D957" s="38" t="n"/>
    </row>
    <row r="958">
      <c r="B958" s="36" t="n">
        <v>954</v>
      </c>
      <c r="C958" s="39" t="n"/>
      <c r="D958" s="40" t="n"/>
    </row>
    <row r="959">
      <c r="B959" s="36" t="n">
        <v>955</v>
      </c>
      <c r="C959" s="37" t="n"/>
      <c r="D959" s="38" t="n"/>
    </row>
    <row r="960">
      <c r="B960" s="36" t="n">
        <v>956</v>
      </c>
      <c r="C960" s="39" t="n"/>
      <c r="D960" s="40" t="n"/>
    </row>
    <row r="961">
      <c r="B961" s="36" t="n">
        <v>957</v>
      </c>
      <c r="C961" s="37" t="n"/>
      <c r="D961" s="38" t="n"/>
    </row>
    <row r="962">
      <c r="B962" s="36" t="n">
        <v>958</v>
      </c>
      <c r="C962" s="39" t="n"/>
      <c r="D962" s="40" t="n"/>
    </row>
    <row r="963">
      <c r="B963" s="36" t="n">
        <v>959</v>
      </c>
      <c r="C963" s="37" t="n"/>
      <c r="D963" s="38" t="n"/>
    </row>
    <row r="964">
      <c r="B964" s="36" t="n">
        <v>960</v>
      </c>
      <c r="C964" s="39" t="n"/>
      <c r="D964" s="40" t="n"/>
    </row>
    <row r="965">
      <c r="B965" s="36" t="n">
        <v>961</v>
      </c>
      <c r="C965" s="37" t="n"/>
      <c r="D965" s="38" t="n"/>
    </row>
    <row r="966">
      <c r="B966" s="36" t="n">
        <v>962</v>
      </c>
      <c r="C966" s="39" t="n"/>
      <c r="D966" s="40" t="n"/>
    </row>
    <row r="967">
      <c r="B967" s="36" t="n">
        <v>963</v>
      </c>
      <c r="C967" s="37" t="n"/>
      <c r="D967" s="38" t="n"/>
    </row>
    <row r="968">
      <c r="B968" s="36" t="n">
        <v>964</v>
      </c>
      <c r="C968" s="39" t="n"/>
      <c r="D968" s="40" t="n"/>
    </row>
    <row r="969">
      <c r="B969" s="36" t="n">
        <v>965</v>
      </c>
      <c r="C969" s="37" t="n"/>
      <c r="D969" s="38" t="n"/>
    </row>
    <row r="970">
      <c r="B970" s="36" t="n">
        <v>966</v>
      </c>
      <c r="C970" s="39" t="n"/>
      <c r="D970" s="40" t="n"/>
    </row>
    <row r="971">
      <c r="B971" s="36" t="n">
        <v>967</v>
      </c>
      <c r="C971" s="37" t="n"/>
      <c r="D971" s="38" t="n"/>
    </row>
    <row r="972">
      <c r="B972" s="36" t="n">
        <v>968</v>
      </c>
      <c r="C972" s="39" t="n"/>
      <c r="D972" s="40" t="n"/>
    </row>
    <row r="973">
      <c r="B973" s="36" t="n">
        <v>969</v>
      </c>
      <c r="C973" s="37" t="n"/>
      <c r="D973" s="38" t="n"/>
    </row>
    <row r="974">
      <c r="B974" s="36" t="n">
        <v>970</v>
      </c>
      <c r="C974" s="39" t="n"/>
      <c r="D974" s="40" t="n"/>
    </row>
    <row r="975">
      <c r="B975" s="36" t="n">
        <v>971</v>
      </c>
      <c r="C975" s="37" t="n"/>
      <c r="D975" s="38" t="n"/>
    </row>
    <row r="976">
      <c r="B976" s="36" t="n">
        <v>972</v>
      </c>
      <c r="C976" s="39" t="n"/>
      <c r="D976" s="40" t="n"/>
    </row>
    <row r="977">
      <c r="B977" s="36" t="n">
        <v>973</v>
      </c>
      <c r="C977" s="37" t="n"/>
      <c r="D977" s="38" t="n"/>
    </row>
    <row r="978">
      <c r="B978" s="36" t="n">
        <v>974</v>
      </c>
      <c r="C978" s="39" t="n"/>
      <c r="D978" s="40" t="n"/>
    </row>
    <row r="979">
      <c r="B979" s="36" t="n">
        <v>975</v>
      </c>
      <c r="C979" s="37" t="n"/>
      <c r="D979" s="38" t="n"/>
    </row>
    <row r="980">
      <c r="B980" s="36" t="n">
        <v>976</v>
      </c>
      <c r="C980" s="39" t="n"/>
      <c r="D980" s="40" t="n"/>
    </row>
    <row r="981">
      <c r="B981" s="36" t="n">
        <v>977</v>
      </c>
      <c r="C981" s="37" t="n"/>
      <c r="D981" s="38" t="n"/>
    </row>
    <row r="982">
      <c r="B982" s="36" t="n">
        <v>978</v>
      </c>
      <c r="C982" s="39" t="n"/>
      <c r="D982" s="40" t="n"/>
    </row>
    <row r="983">
      <c r="B983" s="36" t="n">
        <v>979</v>
      </c>
      <c r="C983" s="37" t="n"/>
      <c r="D983" s="38" t="n"/>
    </row>
    <row r="984">
      <c r="B984" s="36" t="n">
        <v>980</v>
      </c>
      <c r="C984" s="39" t="n"/>
      <c r="D984" s="40" t="n"/>
    </row>
    <row r="985">
      <c r="B985" s="36" t="n">
        <v>981</v>
      </c>
      <c r="C985" s="37" t="n"/>
      <c r="D985" s="38" t="n"/>
    </row>
    <row r="986">
      <c r="B986" s="36" t="n">
        <v>982</v>
      </c>
      <c r="C986" s="39" t="n"/>
      <c r="D986" s="40" t="n"/>
    </row>
    <row r="987">
      <c r="B987" s="36" t="n">
        <v>983</v>
      </c>
      <c r="C987" s="37" t="n"/>
      <c r="D987" s="38" t="n"/>
    </row>
    <row r="988">
      <c r="B988" s="36" t="n">
        <v>984</v>
      </c>
      <c r="C988" s="39" t="n"/>
      <c r="D988" s="40" t="n"/>
    </row>
    <row r="989">
      <c r="B989" s="36" t="n">
        <v>985</v>
      </c>
      <c r="C989" s="37" t="n"/>
      <c r="D989" s="38" t="n"/>
    </row>
    <row r="990">
      <c r="B990" s="36" t="n">
        <v>986</v>
      </c>
      <c r="C990" s="39" t="n"/>
      <c r="D990" s="40" t="n"/>
    </row>
    <row r="991">
      <c r="B991" s="36" t="n">
        <v>987</v>
      </c>
      <c r="C991" s="37" t="n"/>
      <c r="D991" s="38" t="n"/>
    </row>
    <row r="992">
      <c r="B992" s="36" t="n">
        <v>988</v>
      </c>
      <c r="C992" s="39" t="n"/>
      <c r="D992" s="40" t="n"/>
    </row>
    <row r="993">
      <c r="B993" s="36" t="n">
        <v>989</v>
      </c>
      <c r="C993" s="37" t="n"/>
      <c r="D993" s="38" t="n"/>
    </row>
    <row r="994">
      <c r="B994" s="36" t="n">
        <v>990</v>
      </c>
      <c r="C994" s="39" t="n"/>
      <c r="D994" s="40" t="n"/>
    </row>
    <row r="995">
      <c r="B995" s="36" t="n">
        <v>991</v>
      </c>
      <c r="C995" s="37" t="n"/>
      <c r="D995" s="38" t="n"/>
    </row>
    <row r="996">
      <c r="B996" s="36" t="n">
        <v>992</v>
      </c>
      <c r="C996" s="39" t="n"/>
      <c r="D996" s="40" t="n"/>
    </row>
    <row r="997">
      <c r="B997" s="36" t="n">
        <v>993</v>
      </c>
      <c r="C997" s="37" t="n"/>
      <c r="D997" s="38" t="n"/>
    </row>
    <row r="998">
      <c r="B998" s="36" t="n">
        <v>994</v>
      </c>
      <c r="C998" s="39" t="n"/>
      <c r="D998" s="40" t="n"/>
    </row>
    <row r="999">
      <c r="B999" s="36" t="n">
        <v>995</v>
      </c>
      <c r="C999" s="37" t="n"/>
      <c r="D999" s="38" t="n"/>
    </row>
    <row r="1000">
      <c r="B1000" s="36" t="n">
        <v>996</v>
      </c>
      <c r="C1000" s="39" t="n"/>
      <c r="D1000" s="40" t="n"/>
    </row>
    <row r="1001">
      <c r="B1001" s="36" t="n">
        <v>997</v>
      </c>
      <c r="C1001" s="37" t="n"/>
      <c r="D1001" s="38" t="n"/>
    </row>
    <row r="1002">
      <c r="B1002" s="36" t="n">
        <v>998</v>
      </c>
      <c r="C1002" s="39" t="n"/>
      <c r="D1002" s="40" t="n"/>
    </row>
    <row r="1003">
      <c r="B1003" s="36" t="n">
        <v>999</v>
      </c>
      <c r="C1003" s="37" t="n"/>
      <c r="D1003" s="38" t="n"/>
    </row>
    <row r="1004">
      <c r="B1004" s="36" t="n">
        <v>1000</v>
      </c>
      <c r="C1004" s="39" t="n"/>
      <c r="D1004" s="40" t="n"/>
    </row>
  </sheetData>
  <mergeCells count="8">
    <mergeCell ref="F3:G3"/>
    <mergeCell ref="B2:G2"/>
    <mergeCell ref="F4:G4"/>
    <mergeCell ref="B3:D3"/>
    <mergeCell ref="F24:G24"/>
    <mergeCell ref="F20:G20"/>
    <mergeCell ref="B1:G1"/>
    <mergeCell ref="F18:G18"/>
  </mergeCells>
  <conditionalFormatting sqref="G21">
    <cfRule type="cellIs" priority="1" operator="greaterThanOrEqual" dxfId="0">
      <formula>1.67</formula>
    </cfRule>
    <cfRule type="cellIs" priority="2" operator="between" dxfId="1">
      <formula>1</formula>
      <formula>1.669</formula>
    </cfRule>
    <cfRule type="cellIs" priority="3" operator="lessThan" dxfId="2">
      <formula>1</formula>
    </cfRule>
  </conditionalFormatting>
  <conditionalFormatting sqref="G22">
    <cfRule type="cellIs" priority="4" operator="greaterThanOrEqual" dxfId="0">
      <formula>1.67</formula>
    </cfRule>
    <cfRule type="cellIs" priority="5" operator="between" dxfId="1">
      <formula>1</formula>
      <formula>1.669</formula>
    </cfRule>
    <cfRule type="cellIs" priority="6" operator="lessThan" dxfId="2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B1:M10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  <col width="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1" t="inlineStr">
        <is>
          <t>Visualization — Process Capability &amp; Control Charts</t>
        </is>
      </c>
    </row>
    <row r="2">
      <c r="H2" s="43" t="inlineStr">
        <is>
          <t>Show Points:</t>
        </is>
      </c>
      <c r="I2" s="44" t="n">
        <v>50</v>
      </c>
      <c r="J2" s="45">
        <f>IF(I2="All",1000,I2)</f>
        <v/>
      </c>
    </row>
    <row r="3">
      <c r="B3" s="3" t="inlineStr">
        <is>
          <t>Normal Distribution Curve Data</t>
        </is>
      </c>
      <c r="C3" s="4" t="n"/>
      <c r="D3" s="4" t="n"/>
      <c r="E3" s="4" t="n"/>
      <c r="H3" s="3" t="inlineStr">
        <is>
          <t>I-MR Control Chart Data (filtered by Show Points)</t>
        </is>
      </c>
      <c r="I3" s="4" t="n"/>
      <c r="J3" s="4" t="n"/>
      <c r="K3" s="4" t="n"/>
      <c r="L3" s="4" t="n"/>
      <c r="M3" s="4" t="n"/>
    </row>
    <row r="4">
      <c r="B4" s="35" t="inlineStr">
        <is>
          <t>z</t>
        </is>
      </c>
      <c r="C4" s="35" t="inlineStr">
        <is>
          <t>x Value</t>
        </is>
      </c>
      <c r="D4" s="35" t="inlineStr">
        <is>
          <t>Current PDF</t>
        </is>
      </c>
      <c r="E4" s="35" t="inlineStr">
        <is>
          <t>Centered PDF</t>
        </is>
      </c>
      <c r="H4" s="35" t="inlineStr">
        <is>
          <t>#</t>
        </is>
      </c>
      <c r="I4" s="35" t="inlineStr">
        <is>
          <t>Value</t>
        </is>
      </c>
      <c r="J4" s="35" t="inlineStr">
        <is>
          <t>MR</t>
        </is>
      </c>
      <c r="K4" s="35" t="inlineStr">
        <is>
          <t>x̄ (CL)</t>
        </is>
      </c>
      <c r="L4" s="35" t="inlineStr">
        <is>
          <t>UCL</t>
        </is>
      </c>
      <c r="M4" s="35" t="inlineStr">
        <is>
          <t>LCL</t>
        </is>
      </c>
    </row>
    <row r="5">
      <c r="B5" s="46" t="n">
        <v>-4</v>
      </c>
      <c r="C5" s="47">
        <f>Analysis!G9+B5*Analysis!G10</f>
        <v/>
      </c>
      <c r="D5" s="47">
        <f>IF(Analysis!G10&gt;0,(1/(Analysis!G10*SQRT(2*PI())))*EXP(-0.5*B5^2),0)</f>
        <v/>
      </c>
      <c r="E5" s="47">
        <f>IF(Analysis!G10&gt;0,(1/(Analysis!G10*SQRT(2*PI())))*EXP(-0.5*((C5-Analysis!C6)/Analysis!G10)^2),0)</f>
        <v/>
      </c>
      <c r="H5" s="36" t="n">
        <v>1</v>
      </c>
      <c r="I5" s="48">
        <f>IF(OR(1&gt;$J$2,Data!D5=""),NA(),Data!D5)</f>
        <v/>
      </c>
      <c r="J5" s="48">
        <f>IF(1&gt;$J$2,NA(),NA())</f>
        <v/>
      </c>
      <c r="K5" s="48">
        <f>IF(OR(1&gt;$J$2,Data!G5&lt;2),NA(),Data!G6)</f>
        <v/>
      </c>
      <c r="L5" s="48">
        <f>IF(OR(1&gt;$J$2,Data!G5&lt;2),NA(),Data!G6+2.66*AVERAGE(J6:J104))</f>
        <v/>
      </c>
      <c r="M5" s="48">
        <f>IF(OR(1&gt;$J$2,Data!G5&lt;2),NA(),Data!G6-2.66*AVERAGE(J6:J104))</f>
        <v/>
      </c>
    </row>
    <row r="6">
      <c r="B6" s="46" t="n">
        <v>-3.75</v>
      </c>
      <c r="C6" s="47">
        <f>Analysis!G9+B6*Analysis!G10</f>
        <v/>
      </c>
      <c r="D6" s="47">
        <f>IF(Analysis!G10&gt;0,(1/(Analysis!G10*SQRT(2*PI())))*EXP(-0.5*B6^2),0)</f>
        <v/>
      </c>
      <c r="E6" s="47">
        <f>IF(Analysis!G10&gt;0,(1/(Analysis!G10*SQRT(2*PI())))*EXP(-0.5*((C6-Analysis!C6)/Analysis!G10)^2),0)</f>
        <v/>
      </c>
      <c r="H6" s="36" t="n">
        <v>2</v>
      </c>
      <c r="I6" s="48">
        <f>IF(OR(2&gt;$J$2,Data!D6=""),NA(),Data!D6)</f>
        <v/>
      </c>
      <c r="J6" s="48">
        <f>IF(OR(2&gt;$J$2,Data!D6="",Data!D5=""),NA(),ABS(Data!D6-Data!D5))</f>
        <v/>
      </c>
      <c r="K6" s="48">
        <f>IF(OR(2&gt;$J$2,Data!G5&lt;2),NA(),Data!G6)</f>
        <v/>
      </c>
      <c r="L6" s="48">
        <f>IF(OR(2&gt;$J$2,Data!G5&lt;2),NA(),Data!G6+2.66*AVERAGE(J6:J104))</f>
        <v/>
      </c>
      <c r="M6" s="48">
        <f>IF(OR(2&gt;$J$2,Data!G5&lt;2),NA(),Data!G6-2.66*AVERAGE(J6:J104))</f>
        <v/>
      </c>
    </row>
    <row r="7">
      <c r="B7" s="46" t="n">
        <v>-3.5</v>
      </c>
      <c r="C7" s="47">
        <f>Analysis!G9+B7*Analysis!G10</f>
        <v/>
      </c>
      <c r="D7" s="47">
        <f>IF(Analysis!G10&gt;0,(1/(Analysis!G10*SQRT(2*PI())))*EXP(-0.5*B7^2),0)</f>
        <v/>
      </c>
      <c r="E7" s="47">
        <f>IF(Analysis!G10&gt;0,(1/(Analysis!G10*SQRT(2*PI())))*EXP(-0.5*((C7-Analysis!C6)/Analysis!G10)^2),0)</f>
        <v/>
      </c>
      <c r="H7" s="36" t="n">
        <v>3</v>
      </c>
      <c r="I7" s="48">
        <f>IF(OR(3&gt;$J$2,Data!D7=""),NA(),Data!D7)</f>
        <v/>
      </c>
      <c r="J7" s="48">
        <f>IF(OR(3&gt;$J$2,Data!D7="",Data!D6=""),NA(),ABS(Data!D7-Data!D6))</f>
        <v/>
      </c>
      <c r="K7" s="48">
        <f>IF(OR(3&gt;$J$2,Data!G5&lt;2),NA(),Data!G6)</f>
        <v/>
      </c>
      <c r="L7" s="48">
        <f>IF(OR(3&gt;$J$2,Data!G5&lt;2),NA(),Data!G6+2.66*AVERAGE(J6:J104))</f>
        <v/>
      </c>
      <c r="M7" s="48">
        <f>IF(OR(3&gt;$J$2,Data!G5&lt;2),NA(),Data!G6-2.66*AVERAGE(J6:J104))</f>
        <v/>
      </c>
    </row>
    <row r="8">
      <c r="B8" s="46" t="n">
        <v>-3.25</v>
      </c>
      <c r="C8" s="47">
        <f>Analysis!G9+B8*Analysis!G10</f>
        <v/>
      </c>
      <c r="D8" s="47">
        <f>IF(Analysis!G10&gt;0,(1/(Analysis!G10*SQRT(2*PI())))*EXP(-0.5*B8^2),0)</f>
        <v/>
      </c>
      <c r="E8" s="47">
        <f>IF(Analysis!G10&gt;0,(1/(Analysis!G10*SQRT(2*PI())))*EXP(-0.5*((C8-Analysis!C6)/Analysis!G10)^2),0)</f>
        <v/>
      </c>
      <c r="H8" s="36" t="n">
        <v>4</v>
      </c>
      <c r="I8" s="48">
        <f>IF(OR(4&gt;$J$2,Data!D8=""),NA(),Data!D8)</f>
        <v/>
      </c>
      <c r="J8" s="48">
        <f>IF(OR(4&gt;$J$2,Data!D8="",Data!D7=""),NA(),ABS(Data!D8-Data!D7))</f>
        <v/>
      </c>
      <c r="K8" s="48">
        <f>IF(OR(4&gt;$J$2,Data!G5&lt;2),NA(),Data!G6)</f>
        <v/>
      </c>
      <c r="L8" s="48">
        <f>IF(OR(4&gt;$J$2,Data!G5&lt;2),NA(),Data!G6+2.66*AVERAGE(J6:J104))</f>
        <v/>
      </c>
      <c r="M8" s="48">
        <f>IF(OR(4&gt;$J$2,Data!G5&lt;2),NA(),Data!G6-2.66*AVERAGE(J6:J104))</f>
        <v/>
      </c>
    </row>
    <row r="9">
      <c r="B9" s="46" t="n">
        <v>-3</v>
      </c>
      <c r="C9" s="47">
        <f>Analysis!G9+B9*Analysis!G10</f>
        <v/>
      </c>
      <c r="D9" s="47">
        <f>IF(Analysis!G10&gt;0,(1/(Analysis!G10*SQRT(2*PI())))*EXP(-0.5*B9^2),0)</f>
        <v/>
      </c>
      <c r="E9" s="47">
        <f>IF(Analysis!G10&gt;0,(1/(Analysis!G10*SQRT(2*PI())))*EXP(-0.5*((C9-Analysis!C6)/Analysis!G10)^2),0)</f>
        <v/>
      </c>
      <c r="H9" s="36" t="n">
        <v>5</v>
      </c>
      <c r="I9" s="48">
        <f>IF(OR(5&gt;$J$2,Data!D9=""),NA(),Data!D9)</f>
        <v/>
      </c>
      <c r="J9" s="48">
        <f>IF(OR(5&gt;$J$2,Data!D9="",Data!D8=""),NA(),ABS(Data!D9-Data!D8))</f>
        <v/>
      </c>
      <c r="K9" s="48">
        <f>IF(OR(5&gt;$J$2,Data!G5&lt;2),NA(),Data!G6)</f>
        <v/>
      </c>
      <c r="L9" s="48">
        <f>IF(OR(5&gt;$J$2,Data!G5&lt;2),NA(),Data!G6+2.66*AVERAGE(J6:J104))</f>
        <v/>
      </c>
      <c r="M9" s="48">
        <f>IF(OR(5&gt;$J$2,Data!G5&lt;2),NA(),Data!G6-2.66*AVERAGE(J6:J104))</f>
        <v/>
      </c>
    </row>
    <row r="10">
      <c r="B10" s="46" t="n">
        <v>-2.75</v>
      </c>
      <c r="C10" s="47">
        <f>Analysis!G9+B10*Analysis!G10</f>
        <v/>
      </c>
      <c r="D10" s="47">
        <f>IF(Analysis!G10&gt;0,(1/(Analysis!G10*SQRT(2*PI())))*EXP(-0.5*B10^2),0)</f>
        <v/>
      </c>
      <c r="E10" s="47">
        <f>IF(Analysis!G10&gt;0,(1/(Analysis!G10*SQRT(2*PI())))*EXP(-0.5*((C10-Analysis!C6)/Analysis!G10)^2),0)</f>
        <v/>
      </c>
      <c r="H10" s="36" t="n">
        <v>6</v>
      </c>
      <c r="I10" s="48">
        <f>IF(OR(6&gt;$J$2,Data!D10=""),NA(),Data!D10)</f>
        <v/>
      </c>
      <c r="J10" s="48">
        <f>IF(OR(6&gt;$J$2,Data!D10="",Data!D9=""),NA(),ABS(Data!D10-Data!D9))</f>
        <v/>
      </c>
      <c r="K10" s="48">
        <f>IF(OR(6&gt;$J$2,Data!G5&lt;2),NA(),Data!G6)</f>
        <v/>
      </c>
      <c r="L10" s="48">
        <f>IF(OR(6&gt;$J$2,Data!G5&lt;2),NA(),Data!G6+2.66*AVERAGE(J6:J104))</f>
        <v/>
      </c>
      <c r="M10" s="48">
        <f>IF(OR(6&gt;$J$2,Data!G5&lt;2),NA(),Data!G6-2.66*AVERAGE(J6:J104))</f>
        <v/>
      </c>
    </row>
    <row r="11">
      <c r="B11" s="46" t="n">
        <v>-2.5</v>
      </c>
      <c r="C11" s="47">
        <f>Analysis!G9+B11*Analysis!G10</f>
        <v/>
      </c>
      <c r="D11" s="47">
        <f>IF(Analysis!G10&gt;0,(1/(Analysis!G10*SQRT(2*PI())))*EXP(-0.5*B11^2),0)</f>
        <v/>
      </c>
      <c r="E11" s="47">
        <f>IF(Analysis!G10&gt;0,(1/(Analysis!G10*SQRT(2*PI())))*EXP(-0.5*((C11-Analysis!C6)/Analysis!G10)^2),0)</f>
        <v/>
      </c>
      <c r="H11" s="36" t="n">
        <v>7</v>
      </c>
      <c r="I11" s="48">
        <f>IF(OR(7&gt;$J$2,Data!D11=""),NA(),Data!D11)</f>
        <v/>
      </c>
      <c r="J11" s="48">
        <f>IF(OR(7&gt;$J$2,Data!D11="",Data!D10=""),NA(),ABS(Data!D11-Data!D10))</f>
        <v/>
      </c>
      <c r="K11" s="48">
        <f>IF(OR(7&gt;$J$2,Data!G5&lt;2),NA(),Data!G6)</f>
        <v/>
      </c>
      <c r="L11" s="48">
        <f>IF(OR(7&gt;$J$2,Data!G5&lt;2),NA(),Data!G6+2.66*AVERAGE(J6:J104))</f>
        <v/>
      </c>
      <c r="M11" s="48">
        <f>IF(OR(7&gt;$J$2,Data!G5&lt;2),NA(),Data!G6-2.66*AVERAGE(J6:J104))</f>
        <v/>
      </c>
    </row>
    <row r="12">
      <c r="B12" s="46" t="n">
        <v>-2.25</v>
      </c>
      <c r="C12" s="47">
        <f>Analysis!G9+B12*Analysis!G10</f>
        <v/>
      </c>
      <c r="D12" s="47">
        <f>IF(Analysis!G10&gt;0,(1/(Analysis!G10*SQRT(2*PI())))*EXP(-0.5*B12^2),0)</f>
        <v/>
      </c>
      <c r="E12" s="47">
        <f>IF(Analysis!G10&gt;0,(1/(Analysis!G10*SQRT(2*PI())))*EXP(-0.5*((C12-Analysis!C6)/Analysis!G10)^2),0)</f>
        <v/>
      </c>
      <c r="H12" s="36" t="n">
        <v>8</v>
      </c>
      <c r="I12" s="48">
        <f>IF(OR(8&gt;$J$2,Data!D12=""),NA(),Data!D12)</f>
        <v/>
      </c>
      <c r="J12" s="48">
        <f>IF(OR(8&gt;$J$2,Data!D12="",Data!D11=""),NA(),ABS(Data!D12-Data!D11))</f>
        <v/>
      </c>
      <c r="K12" s="48">
        <f>IF(OR(8&gt;$J$2,Data!G5&lt;2),NA(),Data!G6)</f>
        <v/>
      </c>
      <c r="L12" s="48">
        <f>IF(OR(8&gt;$J$2,Data!G5&lt;2),NA(),Data!G6+2.66*AVERAGE(J6:J104))</f>
        <v/>
      </c>
      <c r="M12" s="48">
        <f>IF(OR(8&gt;$J$2,Data!G5&lt;2),NA(),Data!G6-2.66*AVERAGE(J6:J104))</f>
        <v/>
      </c>
    </row>
    <row r="13">
      <c r="B13" s="46" t="n">
        <v>-2</v>
      </c>
      <c r="C13" s="47">
        <f>Analysis!G9+B13*Analysis!G10</f>
        <v/>
      </c>
      <c r="D13" s="47">
        <f>IF(Analysis!G10&gt;0,(1/(Analysis!G10*SQRT(2*PI())))*EXP(-0.5*B13^2),0)</f>
        <v/>
      </c>
      <c r="E13" s="47">
        <f>IF(Analysis!G10&gt;0,(1/(Analysis!G10*SQRT(2*PI())))*EXP(-0.5*((C13-Analysis!C6)/Analysis!G10)^2),0)</f>
        <v/>
      </c>
      <c r="H13" s="36" t="n">
        <v>9</v>
      </c>
      <c r="I13" s="48">
        <f>IF(OR(9&gt;$J$2,Data!D13=""),NA(),Data!D13)</f>
        <v/>
      </c>
      <c r="J13" s="48">
        <f>IF(OR(9&gt;$J$2,Data!D13="",Data!D12=""),NA(),ABS(Data!D13-Data!D12))</f>
        <v/>
      </c>
      <c r="K13" s="48">
        <f>IF(OR(9&gt;$J$2,Data!G5&lt;2),NA(),Data!G6)</f>
        <v/>
      </c>
      <c r="L13" s="48">
        <f>IF(OR(9&gt;$J$2,Data!G5&lt;2),NA(),Data!G6+2.66*AVERAGE(J6:J104))</f>
        <v/>
      </c>
      <c r="M13" s="48">
        <f>IF(OR(9&gt;$J$2,Data!G5&lt;2),NA(),Data!G6-2.66*AVERAGE(J6:J104))</f>
        <v/>
      </c>
    </row>
    <row r="14">
      <c r="B14" s="46" t="n">
        <v>-1.75</v>
      </c>
      <c r="C14" s="47">
        <f>Analysis!G9+B14*Analysis!G10</f>
        <v/>
      </c>
      <c r="D14" s="47">
        <f>IF(Analysis!G10&gt;0,(1/(Analysis!G10*SQRT(2*PI())))*EXP(-0.5*B14^2),0)</f>
        <v/>
      </c>
      <c r="E14" s="47">
        <f>IF(Analysis!G10&gt;0,(1/(Analysis!G10*SQRT(2*PI())))*EXP(-0.5*((C14-Analysis!C6)/Analysis!G10)^2),0)</f>
        <v/>
      </c>
      <c r="H14" s="36" t="n">
        <v>10</v>
      </c>
      <c r="I14" s="48">
        <f>IF(OR(10&gt;$J$2,Data!D14=""),NA(),Data!D14)</f>
        <v/>
      </c>
      <c r="J14" s="48">
        <f>IF(OR(10&gt;$J$2,Data!D14="",Data!D13=""),NA(),ABS(Data!D14-Data!D13))</f>
        <v/>
      </c>
      <c r="K14" s="48">
        <f>IF(OR(10&gt;$J$2,Data!G5&lt;2),NA(),Data!G6)</f>
        <v/>
      </c>
      <c r="L14" s="48">
        <f>IF(OR(10&gt;$J$2,Data!G5&lt;2),NA(),Data!G6+2.66*AVERAGE(J6:J104))</f>
        <v/>
      </c>
      <c r="M14" s="48">
        <f>IF(OR(10&gt;$J$2,Data!G5&lt;2),NA(),Data!G6-2.66*AVERAGE(J6:J104))</f>
        <v/>
      </c>
    </row>
    <row r="15">
      <c r="B15" s="46" t="n">
        <v>-1.5</v>
      </c>
      <c r="C15" s="47">
        <f>Analysis!G9+B15*Analysis!G10</f>
        <v/>
      </c>
      <c r="D15" s="47">
        <f>IF(Analysis!G10&gt;0,(1/(Analysis!G10*SQRT(2*PI())))*EXP(-0.5*B15^2),0)</f>
        <v/>
      </c>
      <c r="E15" s="47">
        <f>IF(Analysis!G10&gt;0,(1/(Analysis!G10*SQRT(2*PI())))*EXP(-0.5*((C15-Analysis!C6)/Analysis!G10)^2),0)</f>
        <v/>
      </c>
      <c r="H15" s="36" t="n">
        <v>11</v>
      </c>
      <c r="I15" s="48">
        <f>IF(OR(11&gt;$J$2,Data!D15=""),NA(),Data!D15)</f>
        <v/>
      </c>
      <c r="J15" s="48">
        <f>IF(OR(11&gt;$J$2,Data!D15="",Data!D14=""),NA(),ABS(Data!D15-Data!D14))</f>
        <v/>
      </c>
      <c r="K15" s="48">
        <f>IF(OR(11&gt;$J$2,Data!G5&lt;2),NA(),Data!G6)</f>
        <v/>
      </c>
      <c r="L15" s="48">
        <f>IF(OR(11&gt;$J$2,Data!G5&lt;2),NA(),Data!G6+2.66*AVERAGE(J6:J104))</f>
        <v/>
      </c>
      <c r="M15" s="48">
        <f>IF(OR(11&gt;$J$2,Data!G5&lt;2),NA(),Data!G6-2.66*AVERAGE(J6:J104))</f>
        <v/>
      </c>
    </row>
    <row r="16">
      <c r="B16" s="46" t="n">
        <v>-1.25</v>
      </c>
      <c r="C16" s="47">
        <f>Analysis!G9+B16*Analysis!G10</f>
        <v/>
      </c>
      <c r="D16" s="47">
        <f>IF(Analysis!G10&gt;0,(1/(Analysis!G10*SQRT(2*PI())))*EXP(-0.5*B16^2),0)</f>
        <v/>
      </c>
      <c r="E16" s="47">
        <f>IF(Analysis!G10&gt;0,(1/(Analysis!G10*SQRT(2*PI())))*EXP(-0.5*((C16-Analysis!C6)/Analysis!G10)^2),0)</f>
        <v/>
      </c>
      <c r="H16" s="36" t="n">
        <v>12</v>
      </c>
      <c r="I16" s="48">
        <f>IF(OR(12&gt;$J$2,Data!D16=""),NA(),Data!D16)</f>
        <v/>
      </c>
      <c r="J16" s="48">
        <f>IF(OR(12&gt;$J$2,Data!D16="",Data!D15=""),NA(),ABS(Data!D16-Data!D15))</f>
        <v/>
      </c>
      <c r="K16" s="48">
        <f>IF(OR(12&gt;$J$2,Data!G5&lt;2),NA(),Data!G6)</f>
        <v/>
      </c>
      <c r="L16" s="48">
        <f>IF(OR(12&gt;$J$2,Data!G5&lt;2),NA(),Data!G6+2.66*AVERAGE(J6:J104))</f>
        <v/>
      </c>
      <c r="M16" s="48">
        <f>IF(OR(12&gt;$J$2,Data!G5&lt;2),NA(),Data!G6-2.66*AVERAGE(J6:J104))</f>
        <v/>
      </c>
    </row>
    <row r="17">
      <c r="B17" s="46" t="n">
        <v>-1</v>
      </c>
      <c r="C17" s="47">
        <f>Analysis!G9+B17*Analysis!G10</f>
        <v/>
      </c>
      <c r="D17" s="47">
        <f>IF(Analysis!G10&gt;0,(1/(Analysis!G10*SQRT(2*PI())))*EXP(-0.5*B17^2),0)</f>
        <v/>
      </c>
      <c r="E17" s="47">
        <f>IF(Analysis!G10&gt;0,(1/(Analysis!G10*SQRT(2*PI())))*EXP(-0.5*((C17-Analysis!C6)/Analysis!G10)^2),0)</f>
        <v/>
      </c>
      <c r="H17" s="36" t="n">
        <v>13</v>
      </c>
      <c r="I17" s="48">
        <f>IF(OR(13&gt;$J$2,Data!D17=""),NA(),Data!D17)</f>
        <v/>
      </c>
      <c r="J17" s="48">
        <f>IF(OR(13&gt;$J$2,Data!D17="",Data!D16=""),NA(),ABS(Data!D17-Data!D16))</f>
        <v/>
      </c>
      <c r="K17" s="48">
        <f>IF(OR(13&gt;$J$2,Data!G5&lt;2),NA(),Data!G6)</f>
        <v/>
      </c>
      <c r="L17" s="48">
        <f>IF(OR(13&gt;$J$2,Data!G5&lt;2),NA(),Data!G6+2.66*AVERAGE(J6:J104))</f>
        <v/>
      </c>
      <c r="M17" s="48">
        <f>IF(OR(13&gt;$J$2,Data!G5&lt;2),NA(),Data!G6-2.66*AVERAGE(J6:J104))</f>
        <v/>
      </c>
    </row>
    <row r="18">
      <c r="B18" s="46" t="n">
        <v>-0.75</v>
      </c>
      <c r="C18" s="47">
        <f>Analysis!G9+B18*Analysis!G10</f>
        <v/>
      </c>
      <c r="D18" s="47">
        <f>IF(Analysis!G10&gt;0,(1/(Analysis!G10*SQRT(2*PI())))*EXP(-0.5*B18^2),0)</f>
        <v/>
      </c>
      <c r="E18" s="47">
        <f>IF(Analysis!G10&gt;0,(1/(Analysis!G10*SQRT(2*PI())))*EXP(-0.5*((C18-Analysis!C6)/Analysis!G10)^2),0)</f>
        <v/>
      </c>
      <c r="H18" s="36" t="n">
        <v>14</v>
      </c>
      <c r="I18" s="48">
        <f>IF(OR(14&gt;$J$2,Data!D18=""),NA(),Data!D18)</f>
        <v/>
      </c>
      <c r="J18" s="48">
        <f>IF(OR(14&gt;$J$2,Data!D18="",Data!D17=""),NA(),ABS(Data!D18-Data!D17))</f>
        <v/>
      </c>
      <c r="K18" s="48">
        <f>IF(OR(14&gt;$J$2,Data!G5&lt;2),NA(),Data!G6)</f>
        <v/>
      </c>
      <c r="L18" s="48">
        <f>IF(OR(14&gt;$J$2,Data!G5&lt;2),NA(),Data!G6+2.66*AVERAGE(J6:J104))</f>
        <v/>
      </c>
      <c r="M18" s="48">
        <f>IF(OR(14&gt;$J$2,Data!G5&lt;2),NA(),Data!G6-2.66*AVERAGE(J6:J104))</f>
        <v/>
      </c>
    </row>
    <row r="19">
      <c r="B19" s="46" t="n">
        <v>-0.5</v>
      </c>
      <c r="C19" s="47">
        <f>Analysis!G9+B19*Analysis!G10</f>
        <v/>
      </c>
      <c r="D19" s="47">
        <f>IF(Analysis!G10&gt;0,(1/(Analysis!G10*SQRT(2*PI())))*EXP(-0.5*B19^2),0)</f>
        <v/>
      </c>
      <c r="E19" s="47">
        <f>IF(Analysis!G10&gt;0,(1/(Analysis!G10*SQRT(2*PI())))*EXP(-0.5*((C19-Analysis!C6)/Analysis!G10)^2),0)</f>
        <v/>
      </c>
      <c r="H19" s="36" t="n">
        <v>15</v>
      </c>
      <c r="I19" s="48">
        <f>IF(OR(15&gt;$J$2,Data!D19=""),NA(),Data!D19)</f>
        <v/>
      </c>
      <c r="J19" s="48">
        <f>IF(OR(15&gt;$J$2,Data!D19="",Data!D18=""),NA(),ABS(Data!D19-Data!D18))</f>
        <v/>
      </c>
      <c r="K19" s="48">
        <f>IF(OR(15&gt;$J$2,Data!G5&lt;2),NA(),Data!G6)</f>
        <v/>
      </c>
      <c r="L19" s="48">
        <f>IF(OR(15&gt;$J$2,Data!G5&lt;2),NA(),Data!G6+2.66*AVERAGE(J6:J104))</f>
        <v/>
      </c>
      <c r="M19" s="48">
        <f>IF(OR(15&gt;$J$2,Data!G5&lt;2),NA(),Data!G6-2.66*AVERAGE(J6:J104))</f>
        <v/>
      </c>
    </row>
    <row r="20">
      <c r="B20" s="46" t="n">
        <v>-0.25</v>
      </c>
      <c r="C20" s="47">
        <f>Analysis!G9+B20*Analysis!G10</f>
        <v/>
      </c>
      <c r="D20" s="47">
        <f>IF(Analysis!G10&gt;0,(1/(Analysis!G10*SQRT(2*PI())))*EXP(-0.5*B20^2),0)</f>
        <v/>
      </c>
      <c r="E20" s="47">
        <f>IF(Analysis!G10&gt;0,(1/(Analysis!G10*SQRT(2*PI())))*EXP(-0.5*((C20-Analysis!C6)/Analysis!G10)^2),0)</f>
        <v/>
      </c>
      <c r="H20" s="36" t="n">
        <v>16</v>
      </c>
      <c r="I20" s="48">
        <f>IF(OR(16&gt;$J$2,Data!D20=""),NA(),Data!D20)</f>
        <v/>
      </c>
      <c r="J20" s="48">
        <f>IF(OR(16&gt;$J$2,Data!D20="",Data!D19=""),NA(),ABS(Data!D20-Data!D19))</f>
        <v/>
      </c>
      <c r="K20" s="48">
        <f>IF(OR(16&gt;$J$2,Data!G5&lt;2),NA(),Data!G6)</f>
        <v/>
      </c>
      <c r="L20" s="48">
        <f>IF(OR(16&gt;$J$2,Data!G5&lt;2),NA(),Data!G6+2.66*AVERAGE(J6:J104))</f>
        <v/>
      </c>
      <c r="M20" s="48">
        <f>IF(OR(16&gt;$J$2,Data!G5&lt;2),NA(),Data!G6-2.66*AVERAGE(J6:J104))</f>
        <v/>
      </c>
    </row>
    <row r="21">
      <c r="B21" s="46" t="n">
        <v>0</v>
      </c>
      <c r="C21" s="47">
        <f>Analysis!G9+B21*Analysis!G10</f>
        <v/>
      </c>
      <c r="D21" s="47">
        <f>IF(Analysis!G10&gt;0,(1/(Analysis!G10*SQRT(2*PI())))*EXP(-0.5*B21^2),0)</f>
        <v/>
      </c>
      <c r="E21" s="47">
        <f>IF(Analysis!G10&gt;0,(1/(Analysis!G10*SQRT(2*PI())))*EXP(-0.5*((C21-Analysis!C6)/Analysis!G10)^2),0)</f>
        <v/>
      </c>
      <c r="H21" s="36" t="n">
        <v>17</v>
      </c>
      <c r="I21" s="48">
        <f>IF(OR(17&gt;$J$2,Data!D21=""),NA(),Data!D21)</f>
        <v/>
      </c>
      <c r="J21" s="48">
        <f>IF(OR(17&gt;$J$2,Data!D21="",Data!D20=""),NA(),ABS(Data!D21-Data!D20))</f>
        <v/>
      </c>
      <c r="K21" s="48">
        <f>IF(OR(17&gt;$J$2,Data!G5&lt;2),NA(),Data!G6)</f>
        <v/>
      </c>
      <c r="L21" s="48">
        <f>IF(OR(17&gt;$J$2,Data!G5&lt;2),NA(),Data!G6+2.66*AVERAGE(J6:J104))</f>
        <v/>
      </c>
      <c r="M21" s="48">
        <f>IF(OR(17&gt;$J$2,Data!G5&lt;2),NA(),Data!G6-2.66*AVERAGE(J6:J104))</f>
        <v/>
      </c>
    </row>
    <row r="22">
      <c r="B22" s="46" t="n">
        <v>0.25</v>
      </c>
      <c r="C22" s="47">
        <f>Analysis!G9+B22*Analysis!G10</f>
        <v/>
      </c>
      <c r="D22" s="47">
        <f>IF(Analysis!G10&gt;0,(1/(Analysis!G10*SQRT(2*PI())))*EXP(-0.5*B22^2),0)</f>
        <v/>
      </c>
      <c r="E22" s="47">
        <f>IF(Analysis!G10&gt;0,(1/(Analysis!G10*SQRT(2*PI())))*EXP(-0.5*((C22-Analysis!C6)/Analysis!G10)^2),0)</f>
        <v/>
      </c>
      <c r="H22" s="36" t="n">
        <v>18</v>
      </c>
      <c r="I22" s="48">
        <f>IF(OR(18&gt;$J$2,Data!D22=""),NA(),Data!D22)</f>
        <v/>
      </c>
      <c r="J22" s="48">
        <f>IF(OR(18&gt;$J$2,Data!D22="",Data!D21=""),NA(),ABS(Data!D22-Data!D21))</f>
        <v/>
      </c>
      <c r="K22" s="48">
        <f>IF(OR(18&gt;$J$2,Data!G5&lt;2),NA(),Data!G6)</f>
        <v/>
      </c>
      <c r="L22" s="48">
        <f>IF(OR(18&gt;$J$2,Data!G5&lt;2),NA(),Data!G6+2.66*AVERAGE(J6:J104))</f>
        <v/>
      </c>
      <c r="M22" s="48">
        <f>IF(OR(18&gt;$J$2,Data!G5&lt;2),NA(),Data!G6-2.66*AVERAGE(J6:J104))</f>
        <v/>
      </c>
    </row>
    <row r="23">
      <c r="B23" s="46" t="n">
        <v>0.5</v>
      </c>
      <c r="C23" s="47">
        <f>Analysis!G9+B23*Analysis!G10</f>
        <v/>
      </c>
      <c r="D23" s="47">
        <f>IF(Analysis!G10&gt;0,(1/(Analysis!G10*SQRT(2*PI())))*EXP(-0.5*B23^2),0)</f>
        <v/>
      </c>
      <c r="E23" s="47">
        <f>IF(Analysis!G10&gt;0,(1/(Analysis!G10*SQRT(2*PI())))*EXP(-0.5*((C23-Analysis!C6)/Analysis!G10)^2),0)</f>
        <v/>
      </c>
      <c r="H23" s="36" t="n">
        <v>19</v>
      </c>
      <c r="I23" s="48">
        <f>IF(OR(19&gt;$J$2,Data!D23=""),NA(),Data!D23)</f>
        <v/>
      </c>
      <c r="J23" s="48">
        <f>IF(OR(19&gt;$J$2,Data!D23="",Data!D22=""),NA(),ABS(Data!D23-Data!D22))</f>
        <v/>
      </c>
      <c r="K23" s="48">
        <f>IF(OR(19&gt;$J$2,Data!G5&lt;2),NA(),Data!G6)</f>
        <v/>
      </c>
      <c r="L23" s="48">
        <f>IF(OR(19&gt;$J$2,Data!G5&lt;2),NA(),Data!G6+2.66*AVERAGE(J6:J104))</f>
        <v/>
      </c>
      <c r="M23" s="48">
        <f>IF(OR(19&gt;$J$2,Data!G5&lt;2),NA(),Data!G6-2.66*AVERAGE(J6:J104))</f>
        <v/>
      </c>
    </row>
    <row r="24">
      <c r="B24" s="46" t="n">
        <v>0.75</v>
      </c>
      <c r="C24" s="47">
        <f>Analysis!G9+B24*Analysis!G10</f>
        <v/>
      </c>
      <c r="D24" s="47">
        <f>IF(Analysis!G10&gt;0,(1/(Analysis!G10*SQRT(2*PI())))*EXP(-0.5*B24^2),0)</f>
        <v/>
      </c>
      <c r="E24" s="47">
        <f>IF(Analysis!G10&gt;0,(1/(Analysis!G10*SQRT(2*PI())))*EXP(-0.5*((C24-Analysis!C6)/Analysis!G10)^2),0)</f>
        <v/>
      </c>
      <c r="H24" s="36" t="n">
        <v>20</v>
      </c>
      <c r="I24" s="48">
        <f>IF(OR(20&gt;$J$2,Data!D24=""),NA(),Data!D24)</f>
        <v/>
      </c>
      <c r="J24" s="48">
        <f>IF(OR(20&gt;$J$2,Data!D24="",Data!D23=""),NA(),ABS(Data!D24-Data!D23))</f>
        <v/>
      </c>
      <c r="K24" s="48">
        <f>IF(OR(20&gt;$J$2,Data!G5&lt;2),NA(),Data!G6)</f>
        <v/>
      </c>
      <c r="L24" s="48">
        <f>IF(OR(20&gt;$J$2,Data!G5&lt;2),NA(),Data!G6+2.66*AVERAGE(J6:J104))</f>
        <v/>
      </c>
      <c r="M24" s="48">
        <f>IF(OR(20&gt;$J$2,Data!G5&lt;2),NA(),Data!G6-2.66*AVERAGE(J6:J104))</f>
        <v/>
      </c>
    </row>
    <row r="25">
      <c r="B25" s="46" t="n">
        <v>1</v>
      </c>
      <c r="C25" s="47">
        <f>Analysis!G9+B25*Analysis!G10</f>
        <v/>
      </c>
      <c r="D25" s="47">
        <f>IF(Analysis!G10&gt;0,(1/(Analysis!G10*SQRT(2*PI())))*EXP(-0.5*B25^2),0)</f>
        <v/>
      </c>
      <c r="E25" s="47">
        <f>IF(Analysis!G10&gt;0,(1/(Analysis!G10*SQRT(2*PI())))*EXP(-0.5*((C25-Analysis!C6)/Analysis!G10)^2),0)</f>
        <v/>
      </c>
      <c r="H25" s="36" t="n">
        <v>21</v>
      </c>
      <c r="I25" s="48">
        <f>IF(OR(21&gt;$J$2,Data!D25=""),NA(),Data!D25)</f>
        <v/>
      </c>
      <c r="J25" s="48">
        <f>IF(OR(21&gt;$J$2,Data!D25="",Data!D24=""),NA(),ABS(Data!D25-Data!D24))</f>
        <v/>
      </c>
      <c r="K25" s="48">
        <f>IF(OR(21&gt;$J$2,Data!G5&lt;2),NA(),Data!G6)</f>
        <v/>
      </c>
      <c r="L25" s="48">
        <f>IF(OR(21&gt;$J$2,Data!G5&lt;2),NA(),Data!G6+2.66*AVERAGE(J6:J104))</f>
        <v/>
      </c>
      <c r="M25" s="48">
        <f>IF(OR(21&gt;$J$2,Data!G5&lt;2),NA(),Data!G6-2.66*AVERAGE(J6:J104))</f>
        <v/>
      </c>
    </row>
    <row r="26">
      <c r="B26" s="46" t="n">
        <v>1.25</v>
      </c>
      <c r="C26" s="47">
        <f>Analysis!G9+B26*Analysis!G10</f>
        <v/>
      </c>
      <c r="D26" s="47">
        <f>IF(Analysis!G10&gt;0,(1/(Analysis!G10*SQRT(2*PI())))*EXP(-0.5*B26^2),0)</f>
        <v/>
      </c>
      <c r="E26" s="47">
        <f>IF(Analysis!G10&gt;0,(1/(Analysis!G10*SQRT(2*PI())))*EXP(-0.5*((C26-Analysis!C6)/Analysis!G10)^2),0)</f>
        <v/>
      </c>
      <c r="H26" s="36" t="n">
        <v>22</v>
      </c>
      <c r="I26" s="48">
        <f>IF(OR(22&gt;$J$2,Data!D26=""),NA(),Data!D26)</f>
        <v/>
      </c>
      <c r="J26" s="48">
        <f>IF(OR(22&gt;$J$2,Data!D26="",Data!D25=""),NA(),ABS(Data!D26-Data!D25))</f>
        <v/>
      </c>
      <c r="K26" s="48">
        <f>IF(OR(22&gt;$J$2,Data!G5&lt;2),NA(),Data!G6)</f>
        <v/>
      </c>
      <c r="L26" s="48">
        <f>IF(OR(22&gt;$J$2,Data!G5&lt;2),NA(),Data!G6+2.66*AVERAGE(J6:J104))</f>
        <v/>
      </c>
      <c r="M26" s="48">
        <f>IF(OR(22&gt;$J$2,Data!G5&lt;2),NA(),Data!G6-2.66*AVERAGE(J6:J104))</f>
        <v/>
      </c>
    </row>
    <row r="27">
      <c r="B27" s="46" t="n">
        <v>1.5</v>
      </c>
      <c r="C27" s="47">
        <f>Analysis!G9+B27*Analysis!G10</f>
        <v/>
      </c>
      <c r="D27" s="47">
        <f>IF(Analysis!G10&gt;0,(1/(Analysis!G10*SQRT(2*PI())))*EXP(-0.5*B27^2),0)</f>
        <v/>
      </c>
      <c r="E27" s="47">
        <f>IF(Analysis!G10&gt;0,(1/(Analysis!G10*SQRT(2*PI())))*EXP(-0.5*((C27-Analysis!C6)/Analysis!G10)^2),0)</f>
        <v/>
      </c>
      <c r="H27" s="36" t="n">
        <v>23</v>
      </c>
      <c r="I27" s="48">
        <f>IF(OR(23&gt;$J$2,Data!D27=""),NA(),Data!D27)</f>
        <v/>
      </c>
      <c r="J27" s="48">
        <f>IF(OR(23&gt;$J$2,Data!D27="",Data!D26=""),NA(),ABS(Data!D27-Data!D26))</f>
        <v/>
      </c>
      <c r="K27" s="48">
        <f>IF(OR(23&gt;$J$2,Data!G5&lt;2),NA(),Data!G6)</f>
        <v/>
      </c>
      <c r="L27" s="48">
        <f>IF(OR(23&gt;$J$2,Data!G5&lt;2),NA(),Data!G6+2.66*AVERAGE(J6:J104))</f>
        <v/>
      </c>
      <c r="M27" s="48">
        <f>IF(OR(23&gt;$J$2,Data!G5&lt;2),NA(),Data!G6-2.66*AVERAGE(J6:J104))</f>
        <v/>
      </c>
    </row>
    <row r="28">
      <c r="B28" s="46" t="n">
        <v>1.75</v>
      </c>
      <c r="C28" s="47">
        <f>Analysis!G9+B28*Analysis!G10</f>
        <v/>
      </c>
      <c r="D28" s="47">
        <f>IF(Analysis!G10&gt;0,(1/(Analysis!G10*SQRT(2*PI())))*EXP(-0.5*B28^2),0)</f>
        <v/>
      </c>
      <c r="E28" s="47">
        <f>IF(Analysis!G10&gt;0,(1/(Analysis!G10*SQRT(2*PI())))*EXP(-0.5*((C28-Analysis!C6)/Analysis!G10)^2),0)</f>
        <v/>
      </c>
      <c r="H28" s="36" t="n">
        <v>24</v>
      </c>
      <c r="I28" s="48">
        <f>IF(OR(24&gt;$J$2,Data!D28=""),NA(),Data!D28)</f>
        <v/>
      </c>
      <c r="J28" s="48">
        <f>IF(OR(24&gt;$J$2,Data!D28="",Data!D27=""),NA(),ABS(Data!D28-Data!D27))</f>
        <v/>
      </c>
      <c r="K28" s="48">
        <f>IF(OR(24&gt;$J$2,Data!G5&lt;2),NA(),Data!G6)</f>
        <v/>
      </c>
      <c r="L28" s="48">
        <f>IF(OR(24&gt;$J$2,Data!G5&lt;2),NA(),Data!G6+2.66*AVERAGE(J6:J104))</f>
        <v/>
      </c>
      <c r="M28" s="48">
        <f>IF(OR(24&gt;$J$2,Data!G5&lt;2),NA(),Data!G6-2.66*AVERAGE(J6:J104))</f>
        <v/>
      </c>
    </row>
    <row r="29">
      <c r="B29" s="46" t="n">
        <v>2</v>
      </c>
      <c r="C29" s="47">
        <f>Analysis!G9+B29*Analysis!G10</f>
        <v/>
      </c>
      <c r="D29" s="47">
        <f>IF(Analysis!G10&gt;0,(1/(Analysis!G10*SQRT(2*PI())))*EXP(-0.5*B29^2),0)</f>
        <v/>
      </c>
      <c r="E29" s="47">
        <f>IF(Analysis!G10&gt;0,(1/(Analysis!G10*SQRT(2*PI())))*EXP(-0.5*((C29-Analysis!C6)/Analysis!G10)^2),0)</f>
        <v/>
      </c>
      <c r="H29" s="36" t="n">
        <v>25</v>
      </c>
      <c r="I29" s="48">
        <f>IF(OR(25&gt;$J$2,Data!D29=""),NA(),Data!D29)</f>
        <v/>
      </c>
      <c r="J29" s="48">
        <f>IF(OR(25&gt;$J$2,Data!D29="",Data!D28=""),NA(),ABS(Data!D29-Data!D28))</f>
        <v/>
      </c>
      <c r="K29" s="48">
        <f>IF(OR(25&gt;$J$2,Data!G5&lt;2),NA(),Data!G6)</f>
        <v/>
      </c>
      <c r="L29" s="48">
        <f>IF(OR(25&gt;$J$2,Data!G5&lt;2),NA(),Data!G6+2.66*AVERAGE(J6:J104))</f>
        <v/>
      </c>
      <c r="M29" s="48">
        <f>IF(OR(25&gt;$J$2,Data!G5&lt;2),NA(),Data!G6-2.66*AVERAGE(J6:J104))</f>
        <v/>
      </c>
    </row>
    <row r="30">
      <c r="B30" s="46" t="n">
        <v>2.25</v>
      </c>
      <c r="C30" s="47">
        <f>Analysis!G9+B30*Analysis!G10</f>
        <v/>
      </c>
      <c r="D30" s="47">
        <f>IF(Analysis!G10&gt;0,(1/(Analysis!G10*SQRT(2*PI())))*EXP(-0.5*B30^2),0)</f>
        <v/>
      </c>
      <c r="E30" s="47">
        <f>IF(Analysis!G10&gt;0,(1/(Analysis!G10*SQRT(2*PI())))*EXP(-0.5*((C30-Analysis!C6)/Analysis!G10)^2),0)</f>
        <v/>
      </c>
      <c r="H30" s="36" t="n">
        <v>26</v>
      </c>
      <c r="I30" s="48">
        <f>IF(OR(26&gt;$J$2,Data!D30=""),NA(),Data!D30)</f>
        <v/>
      </c>
      <c r="J30" s="48">
        <f>IF(OR(26&gt;$J$2,Data!D30="",Data!D29=""),NA(),ABS(Data!D30-Data!D29))</f>
        <v/>
      </c>
      <c r="K30" s="48">
        <f>IF(OR(26&gt;$J$2,Data!G5&lt;2),NA(),Data!G6)</f>
        <v/>
      </c>
      <c r="L30" s="48">
        <f>IF(OR(26&gt;$J$2,Data!G5&lt;2),NA(),Data!G6+2.66*AVERAGE(J6:J104))</f>
        <v/>
      </c>
      <c r="M30" s="48">
        <f>IF(OR(26&gt;$J$2,Data!G5&lt;2),NA(),Data!G6-2.66*AVERAGE(J6:J104))</f>
        <v/>
      </c>
    </row>
    <row r="31">
      <c r="B31" s="46" t="n">
        <v>2.5</v>
      </c>
      <c r="C31" s="47">
        <f>Analysis!G9+B31*Analysis!G10</f>
        <v/>
      </c>
      <c r="D31" s="47">
        <f>IF(Analysis!G10&gt;0,(1/(Analysis!G10*SQRT(2*PI())))*EXP(-0.5*B31^2),0)</f>
        <v/>
      </c>
      <c r="E31" s="47">
        <f>IF(Analysis!G10&gt;0,(1/(Analysis!G10*SQRT(2*PI())))*EXP(-0.5*((C31-Analysis!C6)/Analysis!G10)^2),0)</f>
        <v/>
      </c>
      <c r="H31" s="36" t="n">
        <v>27</v>
      </c>
      <c r="I31" s="48">
        <f>IF(OR(27&gt;$J$2,Data!D31=""),NA(),Data!D31)</f>
        <v/>
      </c>
      <c r="J31" s="48">
        <f>IF(OR(27&gt;$J$2,Data!D31="",Data!D30=""),NA(),ABS(Data!D31-Data!D30))</f>
        <v/>
      </c>
      <c r="K31" s="48">
        <f>IF(OR(27&gt;$J$2,Data!G5&lt;2),NA(),Data!G6)</f>
        <v/>
      </c>
      <c r="L31" s="48">
        <f>IF(OR(27&gt;$J$2,Data!G5&lt;2),NA(),Data!G6+2.66*AVERAGE(J6:J104))</f>
        <v/>
      </c>
      <c r="M31" s="48">
        <f>IF(OR(27&gt;$J$2,Data!G5&lt;2),NA(),Data!G6-2.66*AVERAGE(J6:J104))</f>
        <v/>
      </c>
    </row>
    <row r="32">
      <c r="B32" s="46" t="n">
        <v>2.75</v>
      </c>
      <c r="C32" s="47">
        <f>Analysis!G9+B32*Analysis!G10</f>
        <v/>
      </c>
      <c r="D32" s="47">
        <f>IF(Analysis!G10&gt;0,(1/(Analysis!G10*SQRT(2*PI())))*EXP(-0.5*B32^2),0)</f>
        <v/>
      </c>
      <c r="E32" s="47">
        <f>IF(Analysis!G10&gt;0,(1/(Analysis!G10*SQRT(2*PI())))*EXP(-0.5*((C32-Analysis!C6)/Analysis!G10)^2),0)</f>
        <v/>
      </c>
      <c r="H32" s="36" t="n">
        <v>28</v>
      </c>
      <c r="I32" s="48">
        <f>IF(OR(28&gt;$J$2,Data!D32=""),NA(),Data!D32)</f>
        <v/>
      </c>
      <c r="J32" s="48">
        <f>IF(OR(28&gt;$J$2,Data!D32="",Data!D31=""),NA(),ABS(Data!D32-Data!D31))</f>
        <v/>
      </c>
      <c r="K32" s="48">
        <f>IF(OR(28&gt;$J$2,Data!G5&lt;2),NA(),Data!G6)</f>
        <v/>
      </c>
      <c r="L32" s="48">
        <f>IF(OR(28&gt;$J$2,Data!G5&lt;2),NA(),Data!G6+2.66*AVERAGE(J6:J104))</f>
        <v/>
      </c>
      <c r="M32" s="48">
        <f>IF(OR(28&gt;$J$2,Data!G5&lt;2),NA(),Data!G6-2.66*AVERAGE(J6:J104))</f>
        <v/>
      </c>
    </row>
    <row r="33">
      <c r="B33" s="46" t="n">
        <v>3</v>
      </c>
      <c r="C33" s="47">
        <f>Analysis!G9+B33*Analysis!G10</f>
        <v/>
      </c>
      <c r="D33" s="47">
        <f>IF(Analysis!G10&gt;0,(1/(Analysis!G10*SQRT(2*PI())))*EXP(-0.5*B33^2),0)</f>
        <v/>
      </c>
      <c r="E33" s="47">
        <f>IF(Analysis!G10&gt;0,(1/(Analysis!G10*SQRT(2*PI())))*EXP(-0.5*((C33-Analysis!C6)/Analysis!G10)^2),0)</f>
        <v/>
      </c>
      <c r="H33" s="36" t="n">
        <v>29</v>
      </c>
      <c r="I33" s="48">
        <f>IF(OR(29&gt;$J$2,Data!D33=""),NA(),Data!D33)</f>
        <v/>
      </c>
      <c r="J33" s="48">
        <f>IF(OR(29&gt;$J$2,Data!D33="",Data!D32=""),NA(),ABS(Data!D33-Data!D32))</f>
        <v/>
      </c>
      <c r="K33" s="48">
        <f>IF(OR(29&gt;$J$2,Data!G5&lt;2),NA(),Data!G6)</f>
        <v/>
      </c>
      <c r="L33" s="48">
        <f>IF(OR(29&gt;$J$2,Data!G5&lt;2),NA(),Data!G6+2.66*AVERAGE(J6:J104))</f>
        <v/>
      </c>
      <c r="M33" s="48">
        <f>IF(OR(29&gt;$J$2,Data!G5&lt;2),NA(),Data!G6-2.66*AVERAGE(J6:J104))</f>
        <v/>
      </c>
    </row>
    <row r="34">
      <c r="B34" s="46" t="n">
        <v>3.25</v>
      </c>
      <c r="C34" s="47">
        <f>Analysis!G9+B34*Analysis!G10</f>
        <v/>
      </c>
      <c r="D34" s="47">
        <f>IF(Analysis!G10&gt;0,(1/(Analysis!G10*SQRT(2*PI())))*EXP(-0.5*B34^2),0)</f>
        <v/>
      </c>
      <c r="E34" s="47">
        <f>IF(Analysis!G10&gt;0,(1/(Analysis!G10*SQRT(2*PI())))*EXP(-0.5*((C34-Analysis!C6)/Analysis!G10)^2),0)</f>
        <v/>
      </c>
      <c r="H34" s="36" t="n">
        <v>30</v>
      </c>
      <c r="I34" s="48">
        <f>IF(OR(30&gt;$J$2,Data!D34=""),NA(),Data!D34)</f>
        <v/>
      </c>
      <c r="J34" s="48">
        <f>IF(OR(30&gt;$J$2,Data!D34="",Data!D33=""),NA(),ABS(Data!D34-Data!D33))</f>
        <v/>
      </c>
      <c r="K34" s="48">
        <f>IF(OR(30&gt;$J$2,Data!G5&lt;2),NA(),Data!G6)</f>
        <v/>
      </c>
      <c r="L34" s="48">
        <f>IF(OR(30&gt;$J$2,Data!G5&lt;2),NA(),Data!G6+2.66*AVERAGE(J6:J104))</f>
        <v/>
      </c>
      <c r="M34" s="48">
        <f>IF(OR(30&gt;$J$2,Data!G5&lt;2),NA(),Data!G6-2.66*AVERAGE(J6:J104))</f>
        <v/>
      </c>
    </row>
    <row r="35">
      <c r="B35" s="46" t="n">
        <v>3.5</v>
      </c>
      <c r="C35" s="47">
        <f>Analysis!G9+B35*Analysis!G10</f>
        <v/>
      </c>
      <c r="D35" s="47">
        <f>IF(Analysis!G10&gt;0,(1/(Analysis!G10*SQRT(2*PI())))*EXP(-0.5*B35^2),0)</f>
        <v/>
      </c>
      <c r="E35" s="47">
        <f>IF(Analysis!G10&gt;0,(1/(Analysis!G10*SQRT(2*PI())))*EXP(-0.5*((C35-Analysis!C6)/Analysis!G10)^2),0)</f>
        <v/>
      </c>
      <c r="H35" s="36" t="n">
        <v>31</v>
      </c>
      <c r="I35" s="48">
        <f>IF(OR(31&gt;$J$2,Data!D35=""),NA(),Data!D35)</f>
        <v/>
      </c>
      <c r="J35" s="48">
        <f>IF(OR(31&gt;$J$2,Data!D35="",Data!D34=""),NA(),ABS(Data!D35-Data!D34))</f>
        <v/>
      </c>
      <c r="K35" s="48">
        <f>IF(OR(31&gt;$J$2,Data!G5&lt;2),NA(),Data!G6)</f>
        <v/>
      </c>
      <c r="L35" s="48">
        <f>IF(OR(31&gt;$J$2,Data!G5&lt;2),NA(),Data!G6+2.66*AVERAGE(J6:J104))</f>
        <v/>
      </c>
      <c r="M35" s="48">
        <f>IF(OR(31&gt;$J$2,Data!G5&lt;2),NA(),Data!G6-2.66*AVERAGE(J6:J104))</f>
        <v/>
      </c>
    </row>
    <row r="36">
      <c r="B36" s="46" t="n">
        <v>3.75</v>
      </c>
      <c r="C36" s="47">
        <f>Analysis!G9+B36*Analysis!G10</f>
        <v/>
      </c>
      <c r="D36" s="47">
        <f>IF(Analysis!G10&gt;0,(1/(Analysis!G10*SQRT(2*PI())))*EXP(-0.5*B36^2),0)</f>
        <v/>
      </c>
      <c r="E36" s="47">
        <f>IF(Analysis!G10&gt;0,(1/(Analysis!G10*SQRT(2*PI())))*EXP(-0.5*((C36-Analysis!C6)/Analysis!G10)^2),0)</f>
        <v/>
      </c>
      <c r="H36" s="36" t="n">
        <v>32</v>
      </c>
      <c r="I36" s="48">
        <f>IF(OR(32&gt;$J$2,Data!D36=""),NA(),Data!D36)</f>
        <v/>
      </c>
      <c r="J36" s="48">
        <f>IF(OR(32&gt;$J$2,Data!D36="",Data!D35=""),NA(),ABS(Data!D36-Data!D35))</f>
        <v/>
      </c>
      <c r="K36" s="48">
        <f>IF(OR(32&gt;$J$2,Data!G5&lt;2),NA(),Data!G6)</f>
        <v/>
      </c>
      <c r="L36" s="48">
        <f>IF(OR(32&gt;$J$2,Data!G5&lt;2),NA(),Data!G6+2.66*AVERAGE(J6:J104))</f>
        <v/>
      </c>
      <c r="M36" s="48">
        <f>IF(OR(32&gt;$J$2,Data!G5&lt;2),NA(),Data!G6-2.66*AVERAGE(J6:J104))</f>
        <v/>
      </c>
    </row>
    <row r="37">
      <c r="B37" s="46" t="n">
        <v>4</v>
      </c>
      <c r="C37" s="47">
        <f>Analysis!G9+B37*Analysis!G10</f>
        <v/>
      </c>
      <c r="D37" s="47">
        <f>IF(Analysis!G10&gt;0,(1/(Analysis!G10*SQRT(2*PI())))*EXP(-0.5*B37^2),0)</f>
        <v/>
      </c>
      <c r="E37" s="47">
        <f>IF(Analysis!G10&gt;0,(1/(Analysis!G10*SQRT(2*PI())))*EXP(-0.5*((C37-Analysis!C6)/Analysis!G10)^2),0)</f>
        <v/>
      </c>
      <c r="H37" s="36" t="n">
        <v>33</v>
      </c>
      <c r="I37" s="48">
        <f>IF(OR(33&gt;$J$2,Data!D37=""),NA(),Data!D37)</f>
        <v/>
      </c>
      <c r="J37" s="48">
        <f>IF(OR(33&gt;$J$2,Data!D37="",Data!D36=""),NA(),ABS(Data!D37-Data!D36))</f>
        <v/>
      </c>
      <c r="K37" s="48">
        <f>IF(OR(33&gt;$J$2,Data!G5&lt;2),NA(),Data!G6)</f>
        <v/>
      </c>
      <c r="L37" s="48">
        <f>IF(OR(33&gt;$J$2,Data!G5&lt;2),NA(),Data!G6+2.66*AVERAGE(J6:J104))</f>
        <v/>
      </c>
      <c r="M37" s="48">
        <f>IF(OR(33&gt;$J$2,Data!G5&lt;2),NA(),Data!G6-2.66*AVERAGE(J6:J104))</f>
        <v/>
      </c>
    </row>
    <row r="38">
      <c r="H38" s="36" t="n">
        <v>34</v>
      </c>
      <c r="I38" s="48">
        <f>IF(OR(34&gt;$J$2,Data!D38=""),NA(),Data!D38)</f>
        <v/>
      </c>
      <c r="J38" s="48">
        <f>IF(OR(34&gt;$J$2,Data!D38="",Data!D37=""),NA(),ABS(Data!D38-Data!D37))</f>
        <v/>
      </c>
      <c r="K38" s="48">
        <f>IF(OR(34&gt;$J$2,Data!G5&lt;2),NA(),Data!G6)</f>
        <v/>
      </c>
      <c r="L38" s="48">
        <f>IF(OR(34&gt;$J$2,Data!G5&lt;2),NA(),Data!G6+2.66*AVERAGE(J6:J104))</f>
        <v/>
      </c>
      <c r="M38" s="48">
        <f>IF(OR(34&gt;$J$2,Data!G5&lt;2),NA(),Data!G6-2.66*AVERAGE(J6:J104))</f>
        <v/>
      </c>
    </row>
    <row r="39">
      <c r="H39" s="36" t="n">
        <v>35</v>
      </c>
      <c r="I39" s="48">
        <f>IF(OR(35&gt;$J$2,Data!D39=""),NA(),Data!D39)</f>
        <v/>
      </c>
      <c r="J39" s="48">
        <f>IF(OR(35&gt;$J$2,Data!D39="",Data!D38=""),NA(),ABS(Data!D39-Data!D38))</f>
        <v/>
      </c>
      <c r="K39" s="48">
        <f>IF(OR(35&gt;$J$2,Data!G5&lt;2),NA(),Data!G6)</f>
        <v/>
      </c>
      <c r="L39" s="48">
        <f>IF(OR(35&gt;$J$2,Data!G5&lt;2),NA(),Data!G6+2.66*AVERAGE(J6:J104))</f>
        <v/>
      </c>
      <c r="M39" s="48">
        <f>IF(OR(35&gt;$J$2,Data!G5&lt;2),NA(),Data!G6-2.66*AVERAGE(J6:J104))</f>
        <v/>
      </c>
    </row>
    <row r="40">
      <c r="B40" s="3" t="inlineStr">
        <is>
          <t>Capability Index Comparison</t>
        </is>
      </c>
      <c r="C40" s="4" t="n"/>
      <c r="D40" s="4" t="n"/>
      <c r="E40" s="4" t="n"/>
      <c r="H40" s="36" t="n">
        <v>36</v>
      </c>
      <c r="I40" s="48">
        <f>IF(OR(36&gt;$J$2,Data!D40=""),NA(),Data!D40)</f>
        <v/>
      </c>
      <c r="J40" s="48">
        <f>IF(OR(36&gt;$J$2,Data!D40="",Data!D39=""),NA(),ABS(Data!D40-Data!D39))</f>
        <v/>
      </c>
      <c r="K40" s="48">
        <f>IF(OR(36&gt;$J$2,Data!G5&lt;2),NA(),Data!G6)</f>
        <v/>
      </c>
      <c r="L40" s="48">
        <f>IF(OR(36&gt;$J$2,Data!G5&lt;2),NA(),Data!G6+2.66*AVERAGE(J6:J104))</f>
        <v/>
      </c>
      <c r="M40" s="48">
        <f>IF(OR(36&gt;$J$2,Data!G5&lt;2),NA(),Data!G6-2.66*AVERAGE(J6:J104))</f>
        <v/>
      </c>
    </row>
    <row r="41">
      <c r="B41" s="35" t="inlineStr">
        <is>
          <t>Metric</t>
        </is>
      </c>
      <c r="C41" s="35" t="inlineStr">
        <is>
          <t>Value</t>
        </is>
      </c>
      <c r="D41" s="35" t="inlineStr">
        <is>
          <t>Target</t>
        </is>
      </c>
      <c r="E41" s="35" t="inlineStr">
        <is>
          <t>Min (1.0)</t>
        </is>
      </c>
      <c r="H41" s="36" t="n">
        <v>37</v>
      </c>
      <c r="I41" s="48">
        <f>IF(OR(37&gt;$J$2,Data!D41=""),NA(),Data!D41)</f>
        <v/>
      </c>
      <c r="J41" s="48">
        <f>IF(OR(37&gt;$J$2,Data!D41="",Data!D40=""),NA(),ABS(Data!D41-Data!D40))</f>
        <v/>
      </c>
      <c r="K41" s="48">
        <f>IF(OR(37&gt;$J$2,Data!G5&lt;2),NA(),Data!G6)</f>
        <v/>
      </c>
      <c r="L41" s="48">
        <f>IF(OR(37&gt;$J$2,Data!G5&lt;2),NA(),Data!G6+2.66*AVERAGE(J6:J104))</f>
        <v/>
      </c>
      <c r="M41" s="48">
        <f>IF(OR(37&gt;$J$2,Data!G5&lt;2),NA(),Data!G6-2.66*AVERAGE(J6:J104))</f>
        <v/>
      </c>
    </row>
    <row r="42">
      <c r="B42" s="49" t="inlineStr">
        <is>
          <t>Cp</t>
        </is>
      </c>
      <c r="C42" s="46">
        <f>Analysis!G17</f>
        <v/>
      </c>
      <c r="D42" s="46">
        <f>Analysis!C16</f>
        <v/>
      </c>
      <c r="E42" s="46" t="n">
        <v>1</v>
      </c>
      <c r="H42" s="36" t="n">
        <v>38</v>
      </c>
      <c r="I42" s="48">
        <f>IF(OR(38&gt;$J$2,Data!D42=""),NA(),Data!D42)</f>
        <v/>
      </c>
      <c r="J42" s="48">
        <f>IF(OR(38&gt;$J$2,Data!D42="",Data!D41=""),NA(),ABS(Data!D42-Data!D41))</f>
        <v/>
      </c>
      <c r="K42" s="48">
        <f>IF(OR(38&gt;$J$2,Data!G5&lt;2),NA(),Data!G6)</f>
        <v/>
      </c>
      <c r="L42" s="48">
        <f>IF(OR(38&gt;$J$2,Data!G5&lt;2),NA(),Data!G6+2.66*AVERAGE(J6:J104))</f>
        <v/>
      </c>
      <c r="M42" s="48">
        <f>IF(OR(38&gt;$J$2,Data!G5&lt;2),NA(),Data!G6-2.66*AVERAGE(J6:J104))</f>
        <v/>
      </c>
    </row>
    <row r="43">
      <c r="B43" s="49" t="inlineStr">
        <is>
          <t>Cpk</t>
        </is>
      </c>
      <c r="C43" s="46">
        <f>Analysis!G18</f>
        <v/>
      </c>
      <c r="D43" s="46">
        <f>Analysis!C16</f>
        <v/>
      </c>
      <c r="E43" s="46" t="n">
        <v>1</v>
      </c>
      <c r="H43" s="36" t="n">
        <v>39</v>
      </c>
      <c r="I43" s="48">
        <f>IF(OR(39&gt;$J$2,Data!D43=""),NA(),Data!D43)</f>
        <v/>
      </c>
      <c r="J43" s="48">
        <f>IF(OR(39&gt;$J$2,Data!D43="",Data!D42=""),NA(),ABS(Data!D43-Data!D42))</f>
        <v/>
      </c>
      <c r="K43" s="48">
        <f>IF(OR(39&gt;$J$2,Data!G5&lt;2),NA(),Data!G6)</f>
        <v/>
      </c>
      <c r="L43" s="48">
        <f>IF(OR(39&gt;$J$2,Data!G5&lt;2),NA(),Data!G6+2.66*AVERAGE(J6:J104))</f>
        <v/>
      </c>
      <c r="M43" s="48">
        <f>IF(OR(39&gt;$J$2,Data!G5&lt;2),NA(),Data!G6-2.66*AVERAGE(J6:J104))</f>
        <v/>
      </c>
    </row>
    <row r="44">
      <c r="H44" s="36" t="n">
        <v>40</v>
      </c>
      <c r="I44" s="48">
        <f>IF(OR(40&gt;$J$2,Data!D44=""),NA(),Data!D44)</f>
        <v/>
      </c>
      <c r="J44" s="48">
        <f>IF(OR(40&gt;$J$2,Data!D44="",Data!D43=""),NA(),ABS(Data!D44-Data!D43))</f>
        <v/>
      </c>
      <c r="K44" s="48">
        <f>IF(OR(40&gt;$J$2,Data!G5&lt;2),NA(),Data!G6)</f>
        <v/>
      </c>
      <c r="L44" s="48">
        <f>IF(OR(40&gt;$J$2,Data!G5&lt;2),NA(),Data!G6+2.66*AVERAGE(J6:J104))</f>
        <v/>
      </c>
      <c r="M44" s="48">
        <f>IF(OR(40&gt;$J$2,Data!G5&lt;2),NA(),Data!G6-2.66*AVERAGE(J6:J104))</f>
        <v/>
      </c>
    </row>
    <row r="45">
      <c r="H45" s="36" t="n">
        <v>41</v>
      </c>
      <c r="I45" s="48">
        <f>IF(OR(41&gt;$J$2,Data!D45=""),NA(),Data!D45)</f>
        <v/>
      </c>
      <c r="J45" s="48">
        <f>IF(OR(41&gt;$J$2,Data!D45="",Data!D44=""),NA(),ABS(Data!D45-Data!D44))</f>
        <v/>
      </c>
      <c r="K45" s="48">
        <f>IF(OR(41&gt;$J$2,Data!G5&lt;2),NA(),Data!G6)</f>
        <v/>
      </c>
      <c r="L45" s="48">
        <f>IF(OR(41&gt;$J$2,Data!G5&lt;2),NA(),Data!G6+2.66*AVERAGE(J6:J104))</f>
        <v/>
      </c>
      <c r="M45" s="48">
        <f>IF(OR(41&gt;$J$2,Data!G5&lt;2),NA(),Data!G6-2.66*AVERAGE(J6:J104))</f>
        <v/>
      </c>
    </row>
    <row r="46">
      <c r="B46" s="3" t="inlineStr">
        <is>
          <t>Specification Summary</t>
        </is>
      </c>
      <c r="C46" s="4" t="n"/>
      <c r="D46" s="4" t="n"/>
      <c r="E46" s="4" t="n"/>
      <c r="H46" s="36" t="n">
        <v>42</v>
      </c>
      <c r="I46" s="48">
        <f>IF(OR(42&gt;$J$2,Data!D46=""),NA(),Data!D46)</f>
        <v/>
      </c>
      <c r="J46" s="48">
        <f>IF(OR(42&gt;$J$2,Data!D46="",Data!D45=""),NA(),ABS(Data!D46-Data!D45))</f>
        <v/>
      </c>
      <c r="K46" s="48">
        <f>IF(OR(42&gt;$J$2,Data!G5&lt;2),NA(),Data!G6)</f>
        <v/>
      </c>
      <c r="L46" s="48">
        <f>IF(OR(42&gt;$J$2,Data!G5&lt;2),NA(),Data!G6+2.66*AVERAGE(J6:J104))</f>
        <v/>
      </c>
      <c r="M46" s="48">
        <f>IF(OR(42&gt;$J$2,Data!G5&lt;2),NA(),Data!G6-2.66*AVERAGE(J6:J104))</f>
        <v/>
      </c>
    </row>
    <row r="47">
      <c r="B47" s="5" t="inlineStr">
        <is>
          <t>LSL</t>
        </is>
      </c>
      <c r="C47" s="21">
        <f>Analysis!C7</f>
        <v/>
      </c>
      <c r="D47" s="5" t="inlineStr">
        <is>
          <t>Tₘ</t>
        </is>
      </c>
      <c r="E47" s="21">
        <f>Analysis!C6</f>
        <v/>
      </c>
      <c r="H47" s="36" t="n">
        <v>43</v>
      </c>
      <c r="I47" s="48">
        <f>IF(OR(43&gt;$J$2,Data!D47=""),NA(),Data!D47)</f>
        <v/>
      </c>
      <c r="J47" s="48">
        <f>IF(OR(43&gt;$J$2,Data!D47="",Data!D46=""),NA(),ABS(Data!D47-Data!D46))</f>
        <v/>
      </c>
      <c r="K47" s="48">
        <f>IF(OR(43&gt;$J$2,Data!G5&lt;2),NA(),Data!G6)</f>
        <v/>
      </c>
      <c r="L47" s="48">
        <f>IF(OR(43&gt;$J$2,Data!G5&lt;2),NA(),Data!G6+2.66*AVERAGE(J6:J104))</f>
        <v/>
      </c>
      <c r="M47" s="48">
        <f>IF(OR(43&gt;$J$2,Data!G5&lt;2),NA(),Data!G6-2.66*AVERAGE(J6:J104))</f>
        <v/>
      </c>
    </row>
    <row r="48">
      <c r="B48" s="5" t="inlineStr">
        <is>
          <t>USL</t>
        </is>
      </c>
      <c r="C48" s="21">
        <f>Analysis!C8</f>
        <v/>
      </c>
      <c r="D48" s="5" t="inlineStr">
        <is>
          <t>Mean (x̄)</t>
        </is>
      </c>
      <c r="E48" s="21">
        <f>Analysis!G9</f>
        <v/>
      </c>
      <c r="H48" s="36" t="n">
        <v>44</v>
      </c>
      <c r="I48" s="48">
        <f>IF(OR(44&gt;$J$2,Data!D48=""),NA(),Data!D48)</f>
        <v/>
      </c>
      <c r="J48" s="48">
        <f>IF(OR(44&gt;$J$2,Data!D48="",Data!D47=""),NA(),ABS(Data!D48-Data!D47))</f>
        <v/>
      </c>
      <c r="K48" s="48">
        <f>IF(OR(44&gt;$J$2,Data!G5&lt;2),NA(),Data!G6)</f>
        <v/>
      </c>
      <c r="L48" s="48">
        <f>IF(OR(44&gt;$J$2,Data!G5&lt;2),NA(),Data!G6+2.66*AVERAGE(J6:J104))</f>
        <v/>
      </c>
      <c r="M48" s="48">
        <f>IF(OR(44&gt;$J$2,Data!G5&lt;2),NA(),Data!G6-2.66*AVERAGE(J6:J104))</f>
        <v/>
      </c>
    </row>
    <row r="49">
      <c r="B49" s="5" t="inlineStr">
        <is>
          <t>σ (ACTIVE)</t>
        </is>
      </c>
      <c r="C49" s="19">
        <f>Analysis!G10</f>
        <v/>
      </c>
      <c r="D49" s="5" t="inlineStr">
        <is>
          <t>n (ACTIVE)</t>
        </is>
      </c>
      <c r="E49" s="50">
        <f>Analysis!G11</f>
        <v/>
      </c>
      <c r="H49" s="36" t="n">
        <v>45</v>
      </c>
      <c r="I49" s="48">
        <f>IF(OR(45&gt;$J$2,Data!D49=""),NA(),Data!D49)</f>
        <v/>
      </c>
      <c r="J49" s="48">
        <f>IF(OR(45&gt;$J$2,Data!D49="",Data!D48=""),NA(),ABS(Data!D49-Data!D48))</f>
        <v/>
      </c>
      <c r="K49" s="48">
        <f>IF(OR(45&gt;$J$2,Data!G5&lt;2),NA(),Data!G6)</f>
        <v/>
      </c>
      <c r="L49" s="48">
        <f>IF(OR(45&gt;$J$2,Data!G5&lt;2),NA(),Data!G6+2.66*AVERAGE(J6:J104))</f>
        <v/>
      </c>
      <c r="M49" s="48">
        <f>IF(OR(45&gt;$J$2,Data!G5&lt;2),NA(),Data!G6-2.66*AVERAGE(J6:J104))</f>
        <v/>
      </c>
    </row>
    <row r="50">
      <c r="B50" s="5" t="inlineStr">
        <is>
          <t>6σ Spread</t>
        </is>
      </c>
      <c r="C50" s="21">
        <f>Analysis!G15</f>
        <v/>
      </c>
      <c r="D50" s="5" t="inlineStr">
        <is>
          <t>8σ Spread</t>
        </is>
      </c>
      <c r="E50" s="21">
        <f>Analysis!G16</f>
        <v/>
      </c>
      <c r="H50" s="36" t="n">
        <v>46</v>
      </c>
      <c r="I50" s="48">
        <f>IF(OR(46&gt;$J$2,Data!D50=""),NA(),Data!D50)</f>
        <v/>
      </c>
      <c r="J50" s="48">
        <f>IF(OR(46&gt;$J$2,Data!D50="",Data!D49=""),NA(),ABS(Data!D50-Data!D49))</f>
        <v/>
      </c>
      <c r="K50" s="48">
        <f>IF(OR(46&gt;$J$2,Data!G5&lt;2),NA(),Data!G6)</f>
        <v/>
      </c>
      <c r="L50" s="48">
        <f>IF(OR(46&gt;$J$2,Data!G5&lt;2),NA(),Data!G6+2.66*AVERAGE(J6:J104))</f>
        <v/>
      </c>
      <c r="M50" s="48">
        <f>IF(OR(46&gt;$J$2,Data!G5&lt;2),NA(),Data!G6-2.66*AVERAGE(J6:J104))</f>
        <v/>
      </c>
    </row>
    <row r="51">
      <c r="H51" s="36" t="n">
        <v>47</v>
      </c>
      <c r="I51" s="48">
        <f>IF(OR(47&gt;$J$2,Data!D51=""),NA(),Data!D51)</f>
        <v/>
      </c>
      <c r="J51" s="48">
        <f>IF(OR(47&gt;$J$2,Data!D51="",Data!D50=""),NA(),ABS(Data!D51-Data!D50))</f>
        <v/>
      </c>
      <c r="K51" s="48">
        <f>IF(OR(47&gt;$J$2,Data!G5&lt;2),NA(),Data!G6)</f>
        <v/>
      </c>
      <c r="L51" s="48">
        <f>IF(OR(47&gt;$J$2,Data!G5&lt;2),NA(),Data!G6+2.66*AVERAGE(J6:J104))</f>
        <v/>
      </c>
      <c r="M51" s="48">
        <f>IF(OR(47&gt;$J$2,Data!G5&lt;2),NA(),Data!G6-2.66*AVERAGE(J6:J104))</f>
        <v/>
      </c>
    </row>
    <row r="52">
      <c r="H52" s="36" t="n">
        <v>48</v>
      </c>
      <c r="I52" s="48">
        <f>IF(OR(48&gt;$J$2,Data!D52=""),NA(),Data!D52)</f>
        <v/>
      </c>
      <c r="J52" s="48">
        <f>IF(OR(48&gt;$J$2,Data!D52="",Data!D51=""),NA(),ABS(Data!D52-Data!D51))</f>
        <v/>
      </c>
      <c r="K52" s="48">
        <f>IF(OR(48&gt;$J$2,Data!G5&lt;2),NA(),Data!G6)</f>
        <v/>
      </c>
      <c r="L52" s="48">
        <f>IF(OR(48&gt;$J$2,Data!G5&lt;2),NA(),Data!G6+2.66*AVERAGE(J6:J104))</f>
        <v/>
      </c>
      <c r="M52" s="48">
        <f>IF(OR(48&gt;$J$2,Data!G5&lt;2),NA(),Data!G6-2.66*AVERAGE(J6:J104))</f>
        <v/>
      </c>
    </row>
    <row r="53">
      <c r="H53" s="36" t="n">
        <v>49</v>
      </c>
      <c r="I53" s="48">
        <f>IF(OR(49&gt;$J$2,Data!D53=""),NA(),Data!D53)</f>
        <v/>
      </c>
      <c r="J53" s="48">
        <f>IF(OR(49&gt;$J$2,Data!D53="",Data!D52=""),NA(),ABS(Data!D53-Data!D52))</f>
        <v/>
      </c>
      <c r="K53" s="48">
        <f>IF(OR(49&gt;$J$2,Data!G5&lt;2),NA(),Data!G6)</f>
        <v/>
      </c>
      <c r="L53" s="48">
        <f>IF(OR(49&gt;$J$2,Data!G5&lt;2),NA(),Data!G6+2.66*AVERAGE(J6:J104))</f>
        <v/>
      </c>
      <c r="M53" s="48">
        <f>IF(OR(49&gt;$J$2,Data!G5&lt;2),NA(),Data!G6-2.66*AVERAGE(J6:J104))</f>
        <v/>
      </c>
    </row>
    <row r="54">
      <c r="H54" s="36" t="n">
        <v>50</v>
      </c>
      <c r="I54" s="48">
        <f>IF(OR(50&gt;$J$2,Data!D54=""),NA(),Data!D54)</f>
        <v/>
      </c>
      <c r="J54" s="48">
        <f>IF(OR(50&gt;$J$2,Data!D54="",Data!D53=""),NA(),ABS(Data!D54-Data!D53))</f>
        <v/>
      </c>
      <c r="K54" s="48">
        <f>IF(OR(50&gt;$J$2,Data!G5&lt;2),NA(),Data!G6)</f>
        <v/>
      </c>
      <c r="L54" s="48">
        <f>IF(OR(50&gt;$J$2,Data!G5&lt;2),NA(),Data!G6+2.66*AVERAGE(J6:J104))</f>
        <v/>
      </c>
      <c r="M54" s="48">
        <f>IF(OR(50&gt;$J$2,Data!G5&lt;2),NA(),Data!G6-2.66*AVERAGE(J6:J104))</f>
        <v/>
      </c>
    </row>
    <row r="55">
      <c r="H55" s="36" t="n">
        <v>51</v>
      </c>
      <c r="I55" s="48">
        <f>IF(OR(51&gt;$J$2,Data!D55=""),NA(),Data!D55)</f>
        <v/>
      </c>
      <c r="J55" s="48">
        <f>IF(OR(51&gt;$J$2,Data!D55="",Data!D54=""),NA(),ABS(Data!D55-Data!D54))</f>
        <v/>
      </c>
      <c r="K55" s="48">
        <f>IF(OR(51&gt;$J$2,Data!G5&lt;2),NA(),Data!G6)</f>
        <v/>
      </c>
      <c r="L55" s="48">
        <f>IF(OR(51&gt;$J$2,Data!G5&lt;2),NA(),Data!G6+2.66*AVERAGE(J6:J104))</f>
        <v/>
      </c>
      <c r="M55" s="48">
        <f>IF(OR(51&gt;$J$2,Data!G5&lt;2),NA(),Data!G6-2.66*AVERAGE(J6:J104))</f>
        <v/>
      </c>
    </row>
    <row r="56">
      <c r="H56" s="36" t="n">
        <v>52</v>
      </c>
      <c r="I56" s="48">
        <f>IF(OR(52&gt;$J$2,Data!D56=""),NA(),Data!D56)</f>
        <v/>
      </c>
      <c r="J56" s="48">
        <f>IF(OR(52&gt;$J$2,Data!D56="",Data!D55=""),NA(),ABS(Data!D56-Data!D55))</f>
        <v/>
      </c>
      <c r="K56" s="48">
        <f>IF(OR(52&gt;$J$2,Data!G5&lt;2),NA(),Data!G6)</f>
        <v/>
      </c>
      <c r="L56" s="48">
        <f>IF(OR(52&gt;$J$2,Data!G5&lt;2),NA(),Data!G6+2.66*AVERAGE(J6:J104))</f>
        <v/>
      </c>
      <c r="M56" s="48">
        <f>IF(OR(52&gt;$J$2,Data!G5&lt;2),NA(),Data!G6-2.66*AVERAGE(J6:J104))</f>
        <v/>
      </c>
    </row>
    <row r="57">
      <c r="H57" s="36" t="n">
        <v>53</v>
      </c>
      <c r="I57" s="48">
        <f>IF(OR(53&gt;$J$2,Data!D57=""),NA(),Data!D57)</f>
        <v/>
      </c>
      <c r="J57" s="48">
        <f>IF(OR(53&gt;$J$2,Data!D57="",Data!D56=""),NA(),ABS(Data!D57-Data!D56))</f>
        <v/>
      </c>
      <c r="K57" s="48">
        <f>IF(OR(53&gt;$J$2,Data!G5&lt;2),NA(),Data!G6)</f>
        <v/>
      </c>
      <c r="L57" s="48">
        <f>IF(OR(53&gt;$J$2,Data!G5&lt;2),NA(),Data!G6+2.66*AVERAGE(J6:J104))</f>
        <v/>
      </c>
      <c r="M57" s="48">
        <f>IF(OR(53&gt;$J$2,Data!G5&lt;2),NA(),Data!G6-2.66*AVERAGE(J6:J104))</f>
        <v/>
      </c>
    </row>
    <row r="58">
      <c r="H58" s="36" t="n">
        <v>54</v>
      </c>
      <c r="I58" s="48">
        <f>IF(OR(54&gt;$J$2,Data!D58=""),NA(),Data!D58)</f>
        <v/>
      </c>
      <c r="J58" s="48">
        <f>IF(OR(54&gt;$J$2,Data!D58="",Data!D57=""),NA(),ABS(Data!D58-Data!D57))</f>
        <v/>
      </c>
      <c r="K58" s="48">
        <f>IF(OR(54&gt;$J$2,Data!G5&lt;2),NA(),Data!G6)</f>
        <v/>
      </c>
      <c r="L58" s="48">
        <f>IF(OR(54&gt;$J$2,Data!G5&lt;2),NA(),Data!G6+2.66*AVERAGE(J6:J104))</f>
        <v/>
      </c>
      <c r="M58" s="48">
        <f>IF(OR(54&gt;$J$2,Data!G5&lt;2),NA(),Data!G6-2.66*AVERAGE(J6:J104))</f>
        <v/>
      </c>
    </row>
    <row r="59">
      <c r="H59" s="36" t="n">
        <v>55</v>
      </c>
      <c r="I59" s="48">
        <f>IF(OR(55&gt;$J$2,Data!D59=""),NA(),Data!D59)</f>
        <v/>
      </c>
      <c r="J59" s="48">
        <f>IF(OR(55&gt;$J$2,Data!D59="",Data!D58=""),NA(),ABS(Data!D59-Data!D58))</f>
        <v/>
      </c>
      <c r="K59" s="48">
        <f>IF(OR(55&gt;$J$2,Data!G5&lt;2),NA(),Data!G6)</f>
        <v/>
      </c>
      <c r="L59" s="48">
        <f>IF(OR(55&gt;$J$2,Data!G5&lt;2),NA(),Data!G6+2.66*AVERAGE(J6:J104))</f>
        <v/>
      </c>
      <c r="M59" s="48">
        <f>IF(OR(55&gt;$J$2,Data!G5&lt;2),NA(),Data!G6-2.66*AVERAGE(J6:J104))</f>
        <v/>
      </c>
    </row>
    <row r="60">
      <c r="H60" s="36" t="n">
        <v>56</v>
      </c>
      <c r="I60" s="48">
        <f>IF(OR(56&gt;$J$2,Data!D60=""),NA(),Data!D60)</f>
        <v/>
      </c>
      <c r="J60" s="48">
        <f>IF(OR(56&gt;$J$2,Data!D60="",Data!D59=""),NA(),ABS(Data!D60-Data!D59))</f>
        <v/>
      </c>
      <c r="K60" s="48">
        <f>IF(OR(56&gt;$J$2,Data!G5&lt;2),NA(),Data!G6)</f>
        <v/>
      </c>
      <c r="L60" s="48">
        <f>IF(OR(56&gt;$J$2,Data!G5&lt;2),NA(),Data!G6+2.66*AVERAGE(J6:J104))</f>
        <v/>
      </c>
      <c r="M60" s="48">
        <f>IF(OR(56&gt;$J$2,Data!G5&lt;2),NA(),Data!G6-2.66*AVERAGE(J6:J104))</f>
        <v/>
      </c>
    </row>
    <row r="61">
      <c r="H61" s="36" t="n">
        <v>57</v>
      </c>
      <c r="I61" s="48">
        <f>IF(OR(57&gt;$J$2,Data!D61=""),NA(),Data!D61)</f>
        <v/>
      </c>
      <c r="J61" s="48">
        <f>IF(OR(57&gt;$J$2,Data!D61="",Data!D60=""),NA(),ABS(Data!D61-Data!D60))</f>
        <v/>
      </c>
      <c r="K61" s="48">
        <f>IF(OR(57&gt;$J$2,Data!G5&lt;2),NA(),Data!G6)</f>
        <v/>
      </c>
      <c r="L61" s="48">
        <f>IF(OR(57&gt;$J$2,Data!G5&lt;2),NA(),Data!G6+2.66*AVERAGE(J6:J104))</f>
        <v/>
      </c>
      <c r="M61" s="48">
        <f>IF(OR(57&gt;$J$2,Data!G5&lt;2),NA(),Data!G6-2.66*AVERAGE(J6:J104))</f>
        <v/>
      </c>
    </row>
    <row r="62">
      <c r="H62" s="36" t="n">
        <v>58</v>
      </c>
      <c r="I62" s="48">
        <f>IF(OR(58&gt;$J$2,Data!D62=""),NA(),Data!D62)</f>
        <v/>
      </c>
      <c r="J62" s="48">
        <f>IF(OR(58&gt;$J$2,Data!D62="",Data!D61=""),NA(),ABS(Data!D62-Data!D61))</f>
        <v/>
      </c>
      <c r="K62" s="48">
        <f>IF(OR(58&gt;$J$2,Data!G5&lt;2),NA(),Data!G6)</f>
        <v/>
      </c>
      <c r="L62" s="48">
        <f>IF(OR(58&gt;$J$2,Data!G5&lt;2),NA(),Data!G6+2.66*AVERAGE(J6:J104))</f>
        <v/>
      </c>
      <c r="M62" s="48">
        <f>IF(OR(58&gt;$J$2,Data!G5&lt;2),NA(),Data!G6-2.66*AVERAGE(J6:J104))</f>
        <v/>
      </c>
    </row>
    <row r="63">
      <c r="H63" s="36" t="n">
        <v>59</v>
      </c>
      <c r="I63" s="48">
        <f>IF(OR(59&gt;$J$2,Data!D63=""),NA(),Data!D63)</f>
        <v/>
      </c>
      <c r="J63" s="48">
        <f>IF(OR(59&gt;$J$2,Data!D63="",Data!D62=""),NA(),ABS(Data!D63-Data!D62))</f>
        <v/>
      </c>
      <c r="K63" s="48">
        <f>IF(OR(59&gt;$J$2,Data!G5&lt;2),NA(),Data!G6)</f>
        <v/>
      </c>
      <c r="L63" s="48">
        <f>IF(OR(59&gt;$J$2,Data!G5&lt;2),NA(),Data!G6+2.66*AVERAGE(J6:J104))</f>
        <v/>
      </c>
      <c r="M63" s="48">
        <f>IF(OR(59&gt;$J$2,Data!G5&lt;2),NA(),Data!G6-2.66*AVERAGE(J6:J104))</f>
        <v/>
      </c>
    </row>
    <row r="64">
      <c r="H64" s="36" t="n">
        <v>60</v>
      </c>
      <c r="I64" s="48">
        <f>IF(OR(60&gt;$J$2,Data!D64=""),NA(),Data!D64)</f>
        <v/>
      </c>
      <c r="J64" s="48">
        <f>IF(OR(60&gt;$J$2,Data!D64="",Data!D63=""),NA(),ABS(Data!D64-Data!D63))</f>
        <v/>
      </c>
      <c r="K64" s="48">
        <f>IF(OR(60&gt;$J$2,Data!G5&lt;2),NA(),Data!G6)</f>
        <v/>
      </c>
      <c r="L64" s="48">
        <f>IF(OR(60&gt;$J$2,Data!G5&lt;2),NA(),Data!G6+2.66*AVERAGE(J6:J104))</f>
        <v/>
      </c>
      <c r="M64" s="48">
        <f>IF(OR(60&gt;$J$2,Data!G5&lt;2),NA(),Data!G6-2.66*AVERAGE(J6:J104))</f>
        <v/>
      </c>
    </row>
    <row r="65">
      <c r="H65" s="36" t="n">
        <v>61</v>
      </c>
      <c r="I65" s="48">
        <f>IF(OR(61&gt;$J$2,Data!D65=""),NA(),Data!D65)</f>
        <v/>
      </c>
      <c r="J65" s="48">
        <f>IF(OR(61&gt;$J$2,Data!D65="",Data!D64=""),NA(),ABS(Data!D65-Data!D64))</f>
        <v/>
      </c>
      <c r="K65" s="48">
        <f>IF(OR(61&gt;$J$2,Data!G5&lt;2),NA(),Data!G6)</f>
        <v/>
      </c>
      <c r="L65" s="48">
        <f>IF(OR(61&gt;$J$2,Data!G5&lt;2),NA(),Data!G6+2.66*AVERAGE(J6:J104))</f>
        <v/>
      </c>
      <c r="M65" s="48">
        <f>IF(OR(61&gt;$J$2,Data!G5&lt;2),NA(),Data!G6-2.66*AVERAGE(J6:J104))</f>
        <v/>
      </c>
    </row>
    <row r="66">
      <c r="H66" s="36" t="n">
        <v>62</v>
      </c>
      <c r="I66" s="48">
        <f>IF(OR(62&gt;$J$2,Data!D66=""),NA(),Data!D66)</f>
        <v/>
      </c>
      <c r="J66" s="48">
        <f>IF(OR(62&gt;$J$2,Data!D66="",Data!D65=""),NA(),ABS(Data!D66-Data!D65))</f>
        <v/>
      </c>
      <c r="K66" s="48">
        <f>IF(OR(62&gt;$J$2,Data!G5&lt;2),NA(),Data!G6)</f>
        <v/>
      </c>
      <c r="L66" s="48">
        <f>IF(OR(62&gt;$J$2,Data!G5&lt;2),NA(),Data!G6+2.66*AVERAGE(J6:J104))</f>
        <v/>
      </c>
      <c r="M66" s="48">
        <f>IF(OR(62&gt;$J$2,Data!G5&lt;2),NA(),Data!G6-2.66*AVERAGE(J6:J104))</f>
        <v/>
      </c>
    </row>
    <row r="67">
      <c r="H67" s="36" t="n">
        <v>63</v>
      </c>
      <c r="I67" s="48">
        <f>IF(OR(63&gt;$J$2,Data!D67=""),NA(),Data!D67)</f>
        <v/>
      </c>
      <c r="J67" s="48">
        <f>IF(OR(63&gt;$J$2,Data!D67="",Data!D66=""),NA(),ABS(Data!D67-Data!D66))</f>
        <v/>
      </c>
      <c r="K67" s="48">
        <f>IF(OR(63&gt;$J$2,Data!G5&lt;2),NA(),Data!G6)</f>
        <v/>
      </c>
      <c r="L67" s="48">
        <f>IF(OR(63&gt;$J$2,Data!G5&lt;2),NA(),Data!G6+2.66*AVERAGE(J6:J104))</f>
        <v/>
      </c>
      <c r="M67" s="48">
        <f>IF(OR(63&gt;$J$2,Data!G5&lt;2),NA(),Data!G6-2.66*AVERAGE(J6:J104))</f>
        <v/>
      </c>
    </row>
    <row r="68">
      <c r="H68" s="36" t="n">
        <v>64</v>
      </c>
      <c r="I68" s="48">
        <f>IF(OR(64&gt;$J$2,Data!D68=""),NA(),Data!D68)</f>
        <v/>
      </c>
      <c r="J68" s="48">
        <f>IF(OR(64&gt;$J$2,Data!D68="",Data!D67=""),NA(),ABS(Data!D68-Data!D67))</f>
        <v/>
      </c>
      <c r="K68" s="48">
        <f>IF(OR(64&gt;$J$2,Data!G5&lt;2),NA(),Data!G6)</f>
        <v/>
      </c>
      <c r="L68" s="48">
        <f>IF(OR(64&gt;$J$2,Data!G5&lt;2),NA(),Data!G6+2.66*AVERAGE(J6:J104))</f>
        <v/>
      </c>
      <c r="M68" s="48">
        <f>IF(OR(64&gt;$J$2,Data!G5&lt;2),NA(),Data!G6-2.66*AVERAGE(J6:J104))</f>
        <v/>
      </c>
    </row>
    <row r="69">
      <c r="H69" s="36" t="n">
        <v>65</v>
      </c>
      <c r="I69" s="48">
        <f>IF(OR(65&gt;$J$2,Data!D69=""),NA(),Data!D69)</f>
        <v/>
      </c>
      <c r="J69" s="48">
        <f>IF(OR(65&gt;$J$2,Data!D69="",Data!D68=""),NA(),ABS(Data!D69-Data!D68))</f>
        <v/>
      </c>
      <c r="K69" s="48">
        <f>IF(OR(65&gt;$J$2,Data!G5&lt;2),NA(),Data!G6)</f>
        <v/>
      </c>
      <c r="L69" s="48">
        <f>IF(OR(65&gt;$J$2,Data!G5&lt;2),NA(),Data!G6+2.66*AVERAGE(J6:J104))</f>
        <v/>
      </c>
      <c r="M69" s="48">
        <f>IF(OR(65&gt;$J$2,Data!G5&lt;2),NA(),Data!G6-2.66*AVERAGE(J6:J104))</f>
        <v/>
      </c>
    </row>
    <row r="70">
      <c r="H70" s="36" t="n">
        <v>66</v>
      </c>
      <c r="I70" s="48">
        <f>IF(OR(66&gt;$J$2,Data!D70=""),NA(),Data!D70)</f>
        <v/>
      </c>
      <c r="J70" s="48">
        <f>IF(OR(66&gt;$J$2,Data!D70="",Data!D69=""),NA(),ABS(Data!D70-Data!D69))</f>
        <v/>
      </c>
      <c r="K70" s="48">
        <f>IF(OR(66&gt;$J$2,Data!G5&lt;2),NA(),Data!G6)</f>
        <v/>
      </c>
      <c r="L70" s="48">
        <f>IF(OR(66&gt;$J$2,Data!G5&lt;2),NA(),Data!G6+2.66*AVERAGE(J6:J104))</f>
        <v/>
      </c>
      <c r="M70" s="48">
        <f>IF(OR(66&gt;$J$2,Data!G5&lt;2),NA(),Data!G6-2.66*AVERAGE(J6:J104))</f>
        <v/>
      </c>
    </row>
    <row r="71">
      <c r="H71" s="36" t="n">
        <v>67</v>
      </c>
      <c r="I71" s="48">
        <f>IF(OR(67&gt;$J$2,Data!D71=""),NA(),Data!D71)</f>
        <v/>
      </c>
      <c r="J71" s="48">
        <f>IF(OR(67&gt;$J$2,Data!D71="",Data!D70=""),NA(),ABS(Data!D71-Data!D70))</f>
        <v/>
      </c>
      <c r="K71" s="48">
        <f>IF(OR(67&gt;$J$2,Data!G5&lt;2),NA(),Data!G6)</f>
        <v/>
      </c>
      <c r="L71" s="48">
        <f>IF(OR(67&gt;$J$2,Data!G5&lt;2),NA(),Data!G6+2.66*AVERAGE(J6:J104))</f>
        <v/>
      </c>
      <c r="M71" s="48">
        <f>IF(OR(67&gt;$J$2,Data!G5&lt;2),NA(),Data!G6-2.66*AVERAGE(J6:J104))</f>
        <v/>
      </c>
    </row>
    <row r="72">
      <c r="H72" s="36" t="n">
        <v>68</v>
      </c>
      <c r="I72" s="48">
        <f>IF(OR(68&gt;$J$2,Data!D72=""),NA(),Data!D72)</f>
        <v/>
      </c>
      <c r="J72" s="48">
        <f>IF(OR(68&gt;$J$2,Data!D72="",Data!D71=""),NA(),ABS(Data!D72-Data!D71))</f>
        <v/>
      </c>
      <c r="K72" s="48">
        <f>IF(OR(68&gt;$J$2,Data!G5&lt;2),NA(),Data!G6)</f>
        <v/>
      </c>
      <c r="L72" s="48">
        <f>IF(OR(68&gt;$J$2,Data!G5&lt;2),NA(),Data!G6+2.66*AVERAGE(J6:J104))</f>
        <v/>
      </c>
      <c r="M72" s="48">
        <f>IF(OR(68&gt;$J$2,Data!G5&lt;2),NA(),Data!G6-2.66*AVERAGE(J6:J104))</f>
        <v/>
      </c>
    </row>
    <row r="73">
      <c r="H73" s="36" t="n">
        <v>69</v>
      </c>
      <c r="I73" s="48">
        <f>IF(OR(69&gt;$J$2,Data!D73=""),NA(),Data!D73)</f>
        <v/>
      </c>
      <c r="J73" s="48">
        <f>IF(OR(69&gt;$J$2,Data!D73="",Data!D72=""),NA(),ABS(Data!D73-Data!D72))</f>
        <v/>
      </c>
      <c r="K73" s="48">
        <f>IF(OR(69&gt;$J$2,Data!G5&lt;2),NA(),Data!G6)</f>
        <v/>
      </c>
      <c r="L73" s="48">
        <f>IF(OR(69&gt;$J$2,Data!G5&lt;2),NA(),Data!G6+2.66*AVERAGE(J6:J104))</f>
        <v/>
      </c>
      <c r="M73" s="48">
        <f>IF(OR(69&gt;$J$2,Data!G5&lt;2),NA(),Data!G6-2.66*AVERAGE(J6:J104))</f>
        <v/>
      </c>
    </row>
    <row r="74">
      <c r="H74" s="36" t="n">
        <v>70</v>
      </c>
      <c r="I74" s="48">
        <f>IF(OR(70&gt;$J$2,Data!D74=""),NA(),Data!D74)</f>
        <v/>
      </c>
      <c r="J74" s="48">
        <f>IF(OR(70&gt;$J$2,Data!D74="",Data!D73=""),NA(),ABS(Data!D74-Data!D73))</f>
        <v/>
      </c>
      <c r="K74" s="48">
        <f>IF(OR(70&gt;$J$2,Data!G5&lt;2),NA(),Data!G6)</f>
        <v/>
      </c>
      <c r="L74" s="48">
        <f>IF(OR(70&gt;$J$2,Data!G5&lt;2),NA(),Data!G6+2.66*AVERAGE(J6:J104))</f>
        <v/>
      </c>
      <c r="M74" s="48">
        <f>IF(OR(70&gt;$J$2,Data!G5&lt;2),NA(),Data!G6-2.66*AVERAGE(J6:J104))</f>
        <v/>
      </c>
    </row>
    <row r="75">
      <c r="H75" s="36" t="n">
        <v>71</v>
      </c>
      <c r="I75" s="48">
        <f>IF(OR(71&gt;$J$2,Data!D75=""),NA(),Data!D75)</f>
        <v/>
      </c>
      <c r="J75" s="48">
        <f>IF(OR(71&gt;$J$2,Data!D75="",Data!D74=""),NA(),ABS(Data!D75-Data!D74))</f>
        <v/>
      </c>
      <c r="K75" s="48">
        <f>IF(OR(71&gt;$J$2,Data!G5&lt;2),NA(),Data!G6)</f>
        <v/>
      </c>
      <c r="L75" s="48">
        <f>IF(OR(71&gt;$J$2,Data!G5&lt;2),NA(),Data!G6+2.66*AVERAGE(J6:J104))</f>
        <v/>
      </c>
      <c r="M75" s="48">
        <f>IF(OR(71&gt;$J$2,Data!G5&lt;2),NA(),Data!G6-2.66*AVERAGE(J6:J104))</f>
        <v/>
      </c>
    </row>
    <row r="76">
      <c r="H76" s="36" t="n">
        <v>72</v>
      </c>
      <c r="I76" s="48">
        <f>IF(OR(72&gt;$J$2,Data!D76=""),NA(),Data!D76)</f>
        <v/>
      </c>
      <c r="J76" s="48">
        <f>IF(OR(72&gt;$J$2,Data!D76="",Data!D75=""),NA(),ABS(Data!D76-Data!D75))</f>
        <v/>
      </c>
      <c r="K76" s="48">
        <f>IF(OR(72&gt;$J$2,Data!G5&lt;2),NA(),Data!G6)</f>
        <v/>
      </c>
      <c r="L76" s="48">
        <f>IF(OR(72&gt;$J$2,Data!G5&lt;2),NA(),Data!G6+2.66*AVERAGE(J6:J104))</f>
        <v/>
      </c>
      <c r="M76" s="48">
        <f>IF(OR(72&gt;$J$2,Data!G5&lt;2),NA(),Data!G6-2.66*AVERAGE(J6:J104))</f>
        <v/>
      </c>
    </row>
    <row r="77">
      <c r="H77" s="36" t="n">
        <v>73</v>
      </c>
      <c r="I77" s="48">
        <f>IF(OR(73&gt;$J$2,Data!D77=""),NA(),Data!D77)</f>
        <v/>
      </c>
      <c r="J77" s="48">
        <f>IF(OR(73&gt;$J$2,Data!D77="",Data!D76=""),NA(),ABS(Data!D77-Data!D76))</f>
        <v/>
      </c>
      <c r="K77" s="48">
        <f>IF(OR(73&gt;$J$2,Data!G5&lt;2),NA(),Data!G6)</f>
        <v/>
      </c>
      <c r="L77" s="48">
        <f>IF(OR(73&gt;$J$2,Data!G5&lt;2),NA(),Data!G6+2.66*AVERAGE(J6:J104))</f>
        <v/>
      </c>
      <c r="M77" s="48">
        <f>IF(OR(73&gt;$J$2,Data!G5&lt;2),NA(),Data!G6-2.66*AVERAGE(J6:J104))</f>
        <v/>
      </c>
    </row>
    <row r="78">
      <c r="H78" s="36" t="n">
        <v>74</v>
      </c>
      <c r="I78" s="48">
        <f>IF(OR(74&gt;$J$2,Data!D78=""),NA(),Data!D78)</f>
        <v/>
      </c>
      <c r="J78" s="48">
        <f>IF(OR(74&gt;$J$2,Data!D78="",Data!D77=""),NA(),ABS(Data!D78-Data!D77))</f>
        <v/>
      </c>
      <c r="K78" s="48">
        <f>IF(OR(74&gt;$J$2,Data!G5&lt;2),NA(),Data!G6)</f>
        <v/>
      </c>
      <c r="L78" s="48">
        <f>IF(OR(74&gt;$J$2,Data!G5&lt;2),NA(),Data!G6+2.66*AVERAGE(J6:J104))</f>
        <v/>
      </c>
      <c r="M78" s="48">
        <f>IF(OR(74&gt;$J$2,Data!G5&lt;2),NA(),Data!G6-2.66*AVERAGE(J6:J104))</f>
        <v/>
      </c>
    </row>
    <row r="79">
      <c r="H79" s="36" t="n">
        <v>75</v>
      </c>
      <c r="I79" s="48">
        <f>IF(OR(75&gt;$J$2,Data!D79=""),NA(),Data!D79)</f>
        <v/>
      </c>
      <c r="J79" s="48">
        <f>IF(OR(75&gt;$J$2,Data!D79="",Data!D78=""),NA(),ABS(Data!D79-Data!D78))</f>
        <v/>
      </c>
      <c r="K79" s="48">
        <f>IF(OR(75&gt;$J$2,Data!G5&lt;2),NA(),Data!G6)</f>
        <v/>
      </c>
      <c r="L79" s="48">
        <f>IF(OR(75&gt;$J$2,Data!G5&lt;2),NA(),Data!G6+2.66*AVERAGE(J6:J104))</f>
        <v/>
      </c>
      <c r="M79" s="48">
        <f>IF(OR(75&gt;$J$2,Data!G5&lt;2),NA(),Data!G6-2.66*AVERAGE(J6:J104))</f>
        <v/>
      </c>
    </row>
    <row r="80">
      <c r="H80" s="36" t="n">
        <v>76</v>
      </c>
      <c r="I80" s="48">
        <f>IF(OR(76&gt;$J$2,Data!D80=""),NA(),Data!D80)</f>
        <v/>
      </c>
      <c r="J80" s="48">
        <f>IF(OR(76&gt;$J$2,Data!D80="",Data!D79=""),NA(),ABS(Data!D80-Data!D79))</f>
        <v/>
      </c>
      <c r="K80" s="48">
        <f>IF(OR(76&gt;$J$2,Data!G5&lt;2),NA(),Data!G6)</f>
        <v/>
      </c>
      <c r="L80" s="48">
        <f>IF(OR(76&gt;$J$2,Data!G5&lt;2),NA(),Data!G6+2.66*AVERAGE(J6:J104))</f>
        <v/>
      </c>
      <c r="M80" s="48">
        <f>IF(OR(76&gt;$J$2,Data!G5&lt;2),NA(),Data!G6-2.66*AVERAGE(J6:J104))</f>
        <v/>
      </c>
    </row>
    <row r="81">
      <c r="H81" s="36" t="n">
        <v>77</v>
      </c>
      <c r="I81" s="48">
        <f>IF(OR(77&gt;$J$2,Data!D81=""),NA(),Data!D81)</f>
        <v/>
      </c>
      <c r="J81" s="48">
        <f>IF(OR(77&gt;$J$2,Data!D81="",Data!D80=""),NA(),ABS(Data!D81-Data!D80))</f>
        <v/>
      </c>
      <c r="K81" s="48">
        <f>IF(OR(77&gt;$J$2,Data!G5&lt;2),NA(),Data!G6)</f>
        <v/>
      </c>
      <c r="L81" s="48">
        <f>IF(OR(77&gt;$J$2,Data!G5&lt;2),NA(),Data!G6+2.66*AVERAGE(J6:J104))</f>
        <v/>
      </c>
      <c r="M81" s="48">
        <f>IF(OR(77&gt;$J$2,Data!G5&lt;2),NA(),Data!G6-2.66*AVERAGE(J6:J104))</f>
        <v/>
      </c>
    </row>
    <row r="82">
      <c r="H82" s="36" t="n">
        <v>78</v>
      </c>
      <c r="I82" s="48">
        <f>IF(OR(78&gt;$J$2,Data!D82=""),NA(),Data!D82)</f>
        <v/>
      </c>
      <c r="J82" s="48">
        <f>IF(OR(78&gt;$J$2,Data!D82="",Data!D81=""),NA(),ABS(Data!D82-Data!D81))</f>
        <v/>
      </c>
      <c r="K82" s="48">
        <f>IF(OR(78&gt;$J$2,Data!G5&lt;2),NA(),Data!G6)</f>
        <v/>
      </c>
      <c r="L82" s="48">
        <f>IF(OR(78&gt;$J$2,Data!G5&lt;2),NA(),Data!G6+2.66*AVERAGE(J6:J104))</f>
        <v/>
      </c>
      <c r="M82" s="48">
        <f>IF(OR(78&gt;$J$2,Data!G5&lt;2),NA(),Data!G6-2.66*AVERAGE(J6:J104))</f>
        <v/>
      </c>
    </row>
    <row r="83">
      <c r="H83" s="36" t="n">
        <v>79</v>
      </c>
      <c r="I83" s="48">
        <f>IF(OR(79&gt;$J$2,Data!D83=""),NA(),Data!D83)</f>
        <v/>
      </c>
      <c r="J83" s="48">
        <f>IF(OR(79&gt;$J$2,Data!D83="",Data!D82=""),NA(),ABS(Data!D83-Data!D82))</f>
        <v/>
      </c>
      <c r="K83" s="48">
        <f>IF(OR(79&gt;$J$2,Data!G5&lt;2),NA(),Data!G6)</f>
        <v/>
      </c>
      <c r="L83" s="48">
        <f>IF(OR(79&gt;$J$2,Data!G5&lt;2),NA(),Data!G6+2.66*AVERAGE(J6:J104))</f>
        <v/>
      </c>
      <c r="M83" s="48">
        <f>IF(OR(79&gt;$J$2,Data!G5&lt;2),NA(),Data!G6-2.66*AVERAGE(J6:J104))</f>
        <v/>
      </c>
    </row>
    <row r="84">
      <c r="H84" s="36" t="n">
        <v>80</v>
      </c>
      <c r="I84" s="48">
        <f>IF(OR(80&gt;$J$2,Data!D84=""),NA(),Data!D84)</f>
        <v/>
      </c>
      <c r="J84" s="48">
        <f>IF(OR(80&gt;$J$2,Data!D84="",Data!D83=""),NA(),ABS(Data!D84-Data!D83))</f>
        <v/>
      </c>
      <c r="K84" s="48">
        <f>IF(OR(80&gt;$J$2,Data!G5&lt;2),NA(),Data!G6)</f>
        <v/>
      </c>
      <c r="L84" s="48">
        <f>IF(OR(80&gt;$J$2,Data!G5&lt;2),NA(),Data!G6+2.66*AVERAGE(J6:J104))</f>
        <v/>
      </c>
      <c r="M84" s="48">
        <f>IF(OR(80&gt;$J$2,Data!G5&lt;2),NA(),Data!G6-2.66*AVERAGE(J6:J104))</f>
        <v/>
      </c>
    </row>
    <row r="85">
      <c r="H85" s="36" t="n">
        <v>81</v>
      </c>
      <c r="I85" s="48">
        <f>IF(OR(81&gt;$J$2,Data!D85=""),NA(),Data!D85)</f>
        <v/>
      </c>
      <c r="J85" s="48">
        <f>IF(OR(81&gt;$J$2,Data!D85="",Data!D84=""),NA(),ABS(Data!D85-Data!D84))</f>
        <v/>
      </c>
      <c r="K85" s="48">
        <f>IF(OR(81&gt;$J$2,Data!G5&lt;2),NA(),Data!G6)</f>
        <v/>
      </c>
      <c r="L85" s="48">
        <f>IF(OR(81&gt;$J$2,Data!G5&lt;2),NA(),Data!G6+2.66*AVERAGE(J6:J104))</f>
        <v/>
      </c>
      <c r="M85" s="48">
        <f>IF(OR(81&gt;$J$2,Data!G5&lt;2),NA(),Data!G6-2.66*AVERAGE(J6:J104))</f>
        <v/>
      </c>
    </row>
    <row r="86">
      <c r="H86" s="36" t="n">
        <v>82</v>
      </c>
      <c r="I86" s="48">
        <f>IF(OR(82&gt;$J$2,Data!D86=""),NA(),Data!D86)</f>
        <v/>
      </c>
      <c r="J86" s="48">
        <f>IF(OR(82&gt;$J$2,Data!D86="",Data!D85=""),NA(),ABS(Data!D86-Data!D85))</f>
        <v/>
      </c>
      <c r="K86" s="48">
        <f>IF(OR(82&gt;$J$2,Data!G5&lt;2),NA(),Data!G6)</f>
        <v/>
      </c>
      <c r="L86" s="48">
        <f>IF(OR(82&gt;$J$2,Data!G5&lt;2),NA(),Data!G6+2.66*AVERAGE(J6:J104))</f>
        <v/>
      </c>
      <c r="M86" s="48">
        <f>IF(OR(82&gt;$J$2,Data!G5&lt;2),NA(),Data!G6-2.66*AVERAGE(J6:J104))</f>
        <v/>
      </c>
    </row>
    <row r="87">
      <c r="H87" s="36" t="n">
        <v>83</v>
      </c>
      <c r="I87" s="48">
        <f>IF(OR(83&gt;$J$2,Data!D87=""),NA(),Data!D87)</f>
        <v/>
      </c>
      <c r="J87" s="48">
        <f>IF(OR(83&gt;$J$2,Data!D87="",Data!D86=""),NA(),ABS(Data!D87-Data!D86))</f>
        <v/>
      </c>
      <c r="K87" s="48">
        <f>IF(OR(83&gt;$J$2,Data!G5&lt;2),NA(),Data!G6)</f>
        <v/>
      </c>
      <c r="L87" s="48">
        <f>IF(OR(83&gt;$J$2,Data!G5&lt;2),NA(),Data!G6+2.66*AVERAGE(J6:J104))</f>
        <v/>
      </c>
      <c r="M87" s="48">
        <f>IF(OR(83&gt;$J$2,Data!G5&lt;2),NA(),Data!G6-2.66*AVERAGE(J6:J104))</f>
        <v/>
      </c>
    </row>
    <row r="88">
      <c r="H88" s="36" t="n">
        <v>84</v>
      </c>
      <c r="I88" s="48">
        <f>IF(OR(84&gt;$J$2,Data!D88=""),NA(),Data!D88)</f>
        <v/>
      </c>
      <c r="J88" s="48">
        <f>IF(OR(84&gt;$J$2,Data!D88="",Data!D87=""),NA(),ABS(Data!D88-Data!D87))</f>
        <v/>
      </c>
      <c r="K88" s="48">
        <f>IF(OR(84&gt;$J$2,Data!G5&lt;2),NA(),Data!G6)</f>
        <v/>
      </c>
      <c r="L88" s="48">
        <f>IF(OR(84&gt;$J$2,Data!G5&lt;2),NA(),Data!G6+2.66*AVERAGE(J6:J104))</f>
        <v/>
      </c>
      <c r="M88" s="48">
        <f>IF(OR(84&gt;$J$2,Data!G5&lt;2),NA(),Data!G6-2.66*AVERAGE(J6:J104))</f>
        <v/>
      </c>
    </row>
    <row r="89">
      <c r="H89" s="36" t="n">
        <v>85</v>
      </c>
      <c r="I89" s="48">
        <f>IF(OR(85&gt;$J$2,Data!D89=""),NA(),Data!D89)</f>
        <v/>
      </c>
      <c r="J89" s="48">
        <f>IF(OR(85&gt;$J$2,Data!D89="",Data!D88=""),NA(),ABS(Data!D89-Data!D88))</f>
        <v/>
      </c>
      <c r="K89" s="48">
        <f>IF(OR(85&gt;$J$2,Data!G5&lt;2),NA(),Data!G6)</f>
        <v/>
      </c>
      <c r="L89" s="48">
        <f>IF(OR(85&gt;$J$2,Data!G5&lt;2),NA(),Data!G6+2.66*AVERAGE(J6:J104))</f>
        <v/>
      </c>
      <c r="M89" s="48">
        <f>IF(OR(85&gt;$J$2,Data!G5&lt;2),NA(),Data!G6-2.66*AVERAGE(J6:J104))</f>
        <v/>
      </c>
    </row>
    <row r="90">
      <c r="H90" s="36" t="n">
        <v>86</v>
      </c>
      <c r="I90" s="48">
        <f>IF(OR(86&gt;$J$2,Data!D90=""),NA(),Data!D90)</f>
        <v/>
      </c>
      <c r="J90" s="48">
        <f>IF(OR(86&gt;$J$2,Data!D90="",Data!D89=""),NA(),ABS(Data!D90-Data!D89))</f>
        <v/>
      </c>
      <c r="K90" s="48">
        <f>IF(OR(86&gt;$J$2,Data!G5&lt;2),NA(),Data!G6)</f>
        <v/>
      </c>
      <c r="L90" s="48">
        <f>IF(OR(86&gt;$J$2,Data!G5&lt;2),NA(),Data!G6+2.66*AVERAGE(J6:J104))</f>
        <v/>
      </c>
      <c r="M90" s="48">
        <f>IF(OR(86&gt;$J$2,Data!G5&lt;2),NA(),Data!G6-2.66*AVERAGE(J6:J104))</f>
        <v/>
      </c>
    </row>
    <row r="91">
      <c r="H91" s="36" t="n">
        <v>87</v>
      </c>
      <c r="I91" s="48">
        <f>IF(OR(87&gt;$J$2,Data!D91=""),NA(),Data!D91)</f>
        <v/>
      </c>
      <c r="J91" s="48">
        <f>IF(OR(87&gt;$J$2,Data!D91="",Data!D90=""),NA(),ABS(Data!D91-Data!D90))</f>
        <v/>
      </c>
      <c r="K91" s="48">
        <f>IF(OR(87&gt;$J$2,Data!G5&lt;2),NA(),Data!G6)</f>
        <v/>
      </c>
      <c r="L91" s="48">
        <f>IF(OR(87&gt;$J$2,Data!G5&lt;2),NA(),Data!G6+2.66*AVERAGE(J6:J104))</f>
        <v/>
      </c>
      <c r="M91" s="48">
        <f>IF(OR(87&gt;$J$2,Data!G5&lt;2),NA(),Data!G6-2.66*AVERAGE(J6:J104))</f>
        <v/>
      </c>
    </row>
    <row r="92">
      <c r="H92" s="36" t="n">
        <v>88</v>
      </c>
      <c r="I92" s="48">
        <f>IF(OR(88&gt;$J$2,Data!D92=""),NA(),Data!D92)</f>
        <v/>
      </c>
      <c r="J92" s="48">
        <f>IF(OR(88&gt;$J$2,Data!D92="",Data!D91=""),NA(),ABS(Data!D92-Data!D91))</f>
        <v/>
      </c>
      <c r="K92" s="48">
        <f>IF(OR(88&gt;$J$2,Data!G5&lt;2),NA(),Data!G6)</f>
        <v/>
      </c>
      <c r="L92" s="48">
        <f>IF(OR(88&gt;$J$2,Data!G5&lt;2),NA(),Data!G6+2.66*AVERAGE(J6:J104))</f>
        <v/>
      </c>
      <c r="M92" s="48">
        <f>IF(OR(88&gt;$J$2,Data!G5&lt;2),NA(),Data!G6-2.66*AVERAGE(J6:J104))</f>
        <v/>
      </c>
    </row>
    <row r="93">
      <c r="H93" s="36" t="n">
        <v>89</v>
      </c>
      <c r="I93" s="48">
        <f>IF(OR(89&gt;$J$2,Data!D93=""),NA(),Data!D93)</f>
        <v/>
      </c>
      <c r="J93" s="48">
        <f>IF(OR(89&gt;$J$2,Data!D93="",Data!D92=""),NA(),ABS(Data!D93-Data!D92))</f>
        <v/>
      </c>
      <c r="K93" s="48">
        <f>IF(OR(89&gt;$J$2,Data!G5&lt;2),NA(),Data!G6)</f>
        <v/>
      </c>
      <c r="L93" s="48">
        <f>IF(OR(89&gt;$J$2,Data!G5&lt;2),NA(),Data!G6+2.66*AVERAGE(J6:J104))</f>
        <v/>
      </c>
      <c r="M93" s="48">
        <f>IF(OR(89&gt;$J$2,Data!G5&lt;2),NA(),Data!G6-2.66*AVERAGE(J6:J104))</f>
        <v/>
      </c>
    </row>
    <row r="94">
      <c r="H94" s="36" t="n">
        <v>90</v>
      </c>
      <c r="I94" s="48">
        <f>IF(OR(90&gt;$J$2,Data!D94=""),NA(),Data!D94)</f>
        <v/>
      </c>
      <c r="J94" s="48">
        <f>IF(OR(90&gt;$J$2,Data!D94="",Data!D93=""),NA(),ABS(Data!D94-Data!D93))</f>
        <v/>
      </c>
      <c r="K94" s="48">
        <f>IF(OR(90&gt;$J$2,Data!G5&lt;2),NA(),Data!G6)</f>
        <v/>
      </c>
      <c r="L94" s="48">
        <f>IF(OR(90&gt;$J$2,Data!G5&lt;2),NA(),Data!G6+2.66*AVERAGE(J6:J104))</f>
        <v/>
      </c>
      <c r="M94" s="48">
        <f>IF(OR(90&gt;$J$2,Data!G5&lt;2),NA(),Data!G6-2.66*AVERAGE(J6:J104))</f>
        <v/>
      </c>
    </row>
    <row r="95">
      <c r="H95" s="36" t="n">
        <v>91</v>
      </c>
      <c r="I95" s="48">
        <f>IF(OR(91&gt;$J$2,Data!D95=""),NA(),Data!D95)</f>
        <v/>
      </c>
      <c r="J95" s="48">
        <f>IF(OR(91&gt;$J$2,Data!D95="",Data!D94=""),NA(),ABS(Data!D95-Data!D94))</f>
        <v/>
      </c>
      <c r="K95" s="48">
        <f>IF(OR(91&gt;$J$2,Data!G5&lt;2),NA(),Data!G6)</f>
        <v/>
      </c>
      <c r="L95" s="48">
        <f>IF(OR(91&gt;$J$2,Data!G5&lt;2),NA(),Data!G6+2.66*AVERAGE(J6:J104))</f>
        <v/>
      </c>
      <c r="M95" s="48">
        <f>IF(OR(91&gt;$J$2,Data!G5&lt;2),NA(),Data!G6-2.66*AVERAGE(J6:J104))</f>
        <v/>
      </c>
    </row>
    <row r="96">
      <c r="H96" s="36" t="n">
        <v>92</v>
      </c>
      <c r="I96" s="48">
        <f>IF(OR(92&gt;$J$2,Data!D96=""),NA(),Data!D96)</f>
        <v/>
      </c>
      <c r="J96" s="48">
        <f>IF(OR(92&gt;$J$2,Data!D96="",Data!D95=""),NA(),ABS(Data!D96-Data!D95))</f>
        <v/>
      </c>
      <c r="K96" s="48">
        <f>IF(OR(92&gt;$J$2,Data!G5&lt;2),NA(),Data!G6)</f>
        <v/>
      </c>
      <c r="L96" s="48">
        <f>IF(OR(92&gt;$J$2,Data!G5&lt;2),NA(),Data!G6+2.66*AVERAGE(J6:J104))</f>
        <v/>
      </c>
      <c r="M96" s="48">
        <f>IF(OR(92&gt;$J$2,Data!G5&lt;2),NA(),Data!G6-2.66*AVERAGE(J6:J104))</f>
        <v/>
      </c>
    </row>
    <row r="97">
      <c r="H97" s="36" t="n">
        <v>93</v>
      </c>
      <c r="I97" s="48">
        <f>IF(OR(93&gt;$J$2,Data!D97=""),NA(),Data!D97)</f>
        <v/>
      </c>
      <c r="J97" s="48">
        <f>IF(OR(93&gt;$J$2,Data!D97="",Data!D96=""),NA(),ABS(Data!D97-Data!D96))</f>
        <v/>
      </c>
      <c r="K97" s="48">
        <f>IF(OR(93&gt;$J$2,Data!G5&lt;2),NA(),Data!G6)</f>
        <v/>
      </c>
      <c r="L97" s="48">
        <f>IF(OR(93&gt;$J$2,Data!G5&lt;2),NA(),Data!G6+2.66*AVERAGE(J6:J104))</f>
        <v/>
      </c>
      <c r="M97" s="48">
        <f>IF(OR(93&gt;$J$2,Data!G5&lt;2),NA(),Data!G6-2.66*AVERAGE(J6:J104))</f>
        <v/>
      </c>
    </row>
    <row r="98">
      <c r="H98" s="36" t="n">
        <v>94</v>
      </c>
      <c r="I98" s="48">
        <f>IF(OR(94&gt;$J$2,Data!D98=""),NA(),Data!D98)</f>
        <v/>
      </c>
      <c r="J98" s="48">
        <f>IF(OR(94&gt;$J$2,Data!D98="",Data!D97=""),NA(),ABS(Data!D98-Data!D97))</f>
        <v/>
      </c>
      <c r="K98" s="48">
        <f>IF(OR(94&gt;$J$2,Data!G5&lt;2),NA(),Data!G6)</f>
        <v/>
      </c>
      <c r="L98" s="48">
        <f>IF(OR(94&gt;$J$2,Data!G5&lt;2),NA(),Data!G6+2.66*AVERAGE(J6:J104))</f>
        <v/>
      </c>
      <c r="M98" s="48">
        <f>IF(OR(94&gt;$J$2,Data!G5&lt;2),NA(),Data!G6-2.66*AVERAGE(J6:J104))</f>
        <v/>
      </c>
    </row>
    <row r="99">
      <c r="H99" s="36" t="n">
        <v>95</v>
      </c>
      <c r="I99" s="48">
        <f>IF(OR(95&gt;$J$2,Data!D99=""),NA(),Data!D99)</f>
        <v/>
      </c>
      <c r="J99" s="48">
        <f>IF(OR(95&gt;$J$2,Data!D99="",Data!D98=""),NA(),ABS(Data!D99-Data!D98))</f>
        <v/>
      </c>
      <c r="K99" s="48">
        <f>IF(OR(95&gt;$J$2,Data!G5&lt;2),NA(),Data!G6)</f>
        <v/>
      </c>
      <c r="L99" s="48">
        <f>IF(OR(95&gt;$J$2,Data!G5&lt;2),NA(),Data!G6+2.66*AVERAGE(J6:J104))</f>
        <v/>
      </c>
      <c r="M99" s="48">
        <f>IF(OR(95&gt;$J$2,Data!G5&lt;2),NA(),Data!G6-2.66*AVERAGE(J6:J104))</f>
        <v/>
      </c>
    </row>
    <row r="100">
      <c r="H100" s="36" t="n">
        <v>96</v>
      </c>
      <c r="I100" s="48">
        <f>IF(OR(96&gt;$J$2,Data!D100=""),NA(),Data!D100)</f>
        <v/>
      </c>
      <c r="J100" s="48">
        <f>IF(OR(96&gt;$J$2,Data!D100="",Data!D99=""),NA(),ABS(Data!D100-Data!D99))</f>
        <v/>
      </c>
      <c r="K100" s="48">
        <f>IF(OR(96&gt;$J$2,Data!G5&lt;2),NA(),Data!G6)</f>
        <v/>
      </c>
      <c r="L100" s="48">
        <f>IF(OR(96&gt;$J$2,Data!G5&lt;2),NA(),Data!G6+2.66*AVERAGE(J6:J104))</f>
        <v/>
      </c>
      <c r="M100" s="48">
        <f>IF(OR(96&gt;$J$2,Data!G5&lt;2),NA(),Data!G6-2.66*AVERAGE(J6:J104))</f>
        <v/>
      </c>
    </row>
    <row r="101">
      <c r="H101" s="36" t="n">
        <v>97</v>
      </c>
      <c r="I101" s="48">
        <f>IF(OR(97&gt;$J$2,Data!D101=""),NA(),Data!D101)</f>
        <v/>
      </c>
      <c r="J101" s="48">
        <f>IF(OR(97&gt;$J$2,Data!D101="",Data!D100=""),NA(),ABS(Data!D101-Data!D100))</f>
        <v/>
      </c>
      <c r="K101" s="48">
        <f>IF(OR(97&gt;$J$2,Data!G5&lt;2),NA(),Data!G6)</f>
        <v/>
      </c>
      <c r="L101" s="48">
        <f>IF(OR(97&gt;$J$2,Data!G5&lt;2),NA(),Data!G6+2.66*AVERAGE(J6:J104))</f>
        <v/>
      </c>
      <c r="M101" s="48">
        <f>IF(OR(97&gt;$J$2,Data!G5&lt;2),NA(),Data!G6-2.66*AVERAGE(J6:J104))</f>
        <v/>
      </c>
    </row>
    <row r="102">
      <c r="H102" s="36" t="n">
        <v>98</v>
      </c>
      <c r="I102" s="48">
        <f>IF(OR(98&gt;$J$2,Data!D102=""),NA(),Data!D102)</f>
        <v/>
      </c>
      <c r="J102" s="48">
        <f>IF(OR(98&gt;$J$2,Data!D102="",Data!D101=""),NA(),ABS(Data!D102-Data!D101))</f>
        <v/>
      </c>
      <c r="K102" s="48">
        <f>IF(OR(98&gt;$J$2,Data!G5&lt;2),NA(),Data!G6)</f>
        <v/>
      </c>
      <c r="L102" s="48">
        <f>IF(OR(98&gt;$J$2,Data!G5&lt;2),NA(),Data!G6+2.66*AVERAGE(J6:J104))</f>
        <v/>
      </c>
      <c r="M102" s="48">
        <f>IF(OR(98&gt;$J$2,Data!G5&lt;2),NA(),Data!G6-2.66*AVERAGE(J6:J104))</f>
        <v/>
      </c>
    </row>
    <row r="103">
      <c r="H103" s="36" t="n">
        <v>99</v>
      </c>
      <c r="I103" s="48">
        <f>IF(OR(99&gt;$J$2,Data!D103=""),NA(),Data!D103)</f>
        <v/>
      </c>
      <c r="J103" s="48">
        <f>IF(OR(99&gt;$J$2,Data!D103="",Data!D102=""),NA(),ABS(Data!D103-Data!D102))</f>
        <v/>
      </c>
      <c r="K103" s="48">
        <f>IF(OR(99&gt;$J$2,Data!G5&lt;2),NA(),Data!G6)</f>
        <v/>
      </c>
      <c r="L103" s="48">
        <f>IF(OR(99&gt;$J$2,Data!G5&lt;2),NA(),Data!G6+2.66*AVERAGE(J6:J104))</f>
        <v/>
      </c>
      <c r="M103" s="48">
        <f>IF(OR(99&gt;$J$2,Data!G5&lt;2),NA(),Data!G6-2.66*AVERAGE(J6:J104))</f>
        <v/>
      </c>
    </row>
    <row r="104">
      <c r="H104" s="36" t="n">
        <v>100</v>
      </c>
      <c r="I104" s="48">
        <f>IF(OR(100&gt;$J$2,Data!D104=""),NA(),Data!D104)</f>
        <v/>
      </c>
      <c r="J104" s="48">
        <f>IF(OR(100&gt;$J$2,Data!D104="",Data!D103=""),NA(),ABS(Data!D104-Data!D103))</f>
        <v/>
      </c>
      <c r="K104" s="48">
        <f>IF(OR(100&gt;$J$2,Data!G5&lt;2),NA(),Data!G6)</f>
        <v/>
      </c>
      <c r="L104" s="48">
        <f>IF(OR(100&gt;$J$2,Data!G5&lt;2),NA(),Data!G6+2.66*AVERAGE(J6:J104))</f>
        <v/>
      </c>
      <c r="M104" s="48">
        <f>IF(OR(100&gt;$J$2,Data!G5&lt;2),NA(),Data!G6-2.66*AVERAGE(J6:J104))</f>
        <v/>
      </c>
    </row>
  </sheetData>
  <mergeCells count="5">
    <mergeCell ref="B40:E40"/>
    <mergeCell ref="B3:E3"/>
    <mergeCell ref="B1:M1"/>
    <mergeCell ref="B46:E46"/>
    <mergeCell ref="H3:M3"/>
  </mergeCells>
  <dataValidations count="1">
    <dataValidation sqref="I2" showDropDown="0" showInputMessage="0" showErrorMessage="0" allowBlank="0" promptTitle="Filter" prompt="Choose how many data points to show in control charts" type="list">
      <formula1>"10,25,50,100,All"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B1:O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6" customWidth="1" min="10" max="10"/>
    <col width="10" customWidth="1" min="11" max="11"/>
    <col width="10" customWidth="1" min="12" max="12"/>
    <col width="12" customWidth="1" min="13" max="13"/>
    <col width="12" customWidth="1" min="14" max="14"/>
    <col width="36" customWidth="1" min="15" max="15"/>
  </cols>
  <sheetData>
    <row r="1">
      <c r="B1" s="1" t="inlineStr">
        <is>
          <t>Analysis History Log</t>
        </is>
      </c>
    </row>
    <row r="2">
      <c r="B2" s="2" t="inlineStr">
        <is>
          <t>Row 4 is auto-linked to the current Analysis. To save a run, copy-paste Row 4 as VALUES into the next empty row.</t>
        </is>
      </c>
    </row>
    <row r="3">
      <c r="B3" s="35" t="inlineStr">
        <is>
          <t>Date</t>
        </is>
      </c>
      <c r="C3" s="35" t="inlineStr">
        <is>
          <t>Name</t>
        </is>
      </c>
      <c r="D3" s="35" t="inlineStr">
        <is>
          <t>Mode</t>
        </is>
      </c>
      <c r="E3" s="35" t="inlineStr">
        <is>
          <t>Tₘ</t>
        </is>
      </c>
      <c r="F3" s="35" t="inlineStr">
        <is>
          <t>LSL</t>
        </is>
      </c>
      <c r="G3" s="35" t="inlineStr">
        <is>
          <t>USL</t>
        </is>
      </c>
      <c r="H3" s="35" t="inlineStr">
        <is>
          <t>x̄</t>
        </is>
      </c>
      <c r="I3" s="35" t="inlineStr">
        <is>
          <t>σ</t>
        </is>
      </c>
      <c r="J3" s="35" t="inlineStr">
        <is>
          <t>n</t>
        </is>
      </c>
      <c r="K3" s="35" t="inlineStr">
        <is>
          <t>Cp</t>
        </is>
      </c>
      <c r="L3" s="35" t="inlineStr">
        <is>
          <t>Cpk</t>
        </is>
      </c>
      <c r="M3" s="35" t="inlineStr">
        <is>
          <t>PPM Total</t>
        </is>
      </c>
      <c r="N3" s="35" t="inlineStr">
        <is>
          <t>Shift (Δ)</t>
        </is>
      </c>
      <c r="O3" s="35" t="inlineStr">
        <is>
          <t>Verdict</t>
        </is>
      </c>
    </row>
    <row r="4">
      <c r="B4" s="51">
        <f>TODAY()</f>
        <v/>
      </c>
      <c r="C4" s="52">
        <f>Analysis!C5</f>
        <v/>
      </c>
      <c r="D4" s="52">
        <f>Analysis!C10</f>
        <v/>
      </c>
      <c r="E4" s="53">
        <f>Analysis!C6</f>
        <v/>
      </c>
      <c r="F4" s="53">
        <f>Analysis!C7</f>
        <v/>
      </c>
      <c r="G4" s="53">
        <f>Analysis!C8</f>
        <v/>
      </c>
      <c r="H4" s="54">
        <f>Analysis!G9</f>
        <v/>
      </c>
      <c r="I4" s="54">
        <f>Analysis!G10</f>
        <v/>
      </c>
      <c r="J4" s="55">
        <f>Analysis!G11</f>
        <v/>
      </c>
      <c r="K4" s="53">
        <f>Analysis!G17</f>
        <v/>
      </c>
      <c r="L4" s="53">
        <f>Analysis!G18</f>
        <v/>
      </c>
      <c r="M4" s="56">
        <f>Analysis!J10</f>
        <v/>
      </c>
      <c r="N4" s="53">
        <f>Analysis!G19</f>
        <v/>
      </c>
      <c r="O4" s="52">
        <f>Analysis!B28</f>
        <v/>
      </c>
    </row>
    <row r="5"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</row>
    <row r="6"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</row>
    <row r="7"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</row>
    <row r="8"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</row>
    <row r="9"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</row>
    <row r="10"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</row>
    <row r="12"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</row>
    <row r="13"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</row>
    <row r="14"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</row>
    <row r="15"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</row>
    <row r="16"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</row>
    <row r="17"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</row>
    <row r="18"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</row>
    <row r="19"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</row>
    <row r="20"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</row>
    <row r="21"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</row>
    <row r="22"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</row>
    <row r="23"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</row>
    <row r="24"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</row>
    <row r="25"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</row>
    <row r="26"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</row>
    <row r="27"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</row>
    <row r="28"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</row>
    <row r="29"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</row>
    <row r="30"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</row>
    <row r="31"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</row>
    <row r="32"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</row>
    <row r="33"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</row>
    <row r="34"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</row>
    <row r="35"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</row>
    <row r="36"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</row>
    <row r="37"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</row>
    <row r="38"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</row>
    <row r="39"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</row>
    <row r="40"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</row>
    <row r="41"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</row>
    <row r="42"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</row>
    <row r="43"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</row>
    <row r="44"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</row>
    <row r="45"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</row>
    <row r="46"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</row>
    <row r="47"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</row>
    <row r="48"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</row>
    <row r="49"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</row>
    <row r="50"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</row>
    <row r="52"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</row>
    <row r="53"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</row>
    <row r="54"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</row>
  </sheetData>
  <mergeCells count="2">
    <mergeCell ref="B1:O1"/>
    <mergeCell ref="B2:O2"/>
  </mergeCells>
  <conditionalFormatting sqref="L4:L55">
    <cfRule type="cellIs" priority="1" operator="greaterThanOrEqual" dxfId="0">
      <formula>1.67</formula>
    </cfRule>
    <cfRule type="cellIs" priority="2" operator="between" dxfId="1">
      <formula>1</formula>
      <formula>1.669</formula>
    </cfRule>
    <cfRule type="cellIs" priority="3" operator="lessThan" dxfId="2">
      <formula>1</formula>
    </cfRule>
  </conditionalFormatting>
  <conditionalFormatting sqref="K4:K55">
    <cfRule type="cellIs" priority="4" operator="greaterThanOrEqual" dxfId="0">
      <formula>1.67</formula>
    </cfRule>
    <cfRule type="cellIs" priority="5" operator="between" dxfId="1">
      <formula>1</formula>
      <formula>1.669</formula>
    </cfRule>
    <cfRule type="cellIs" priority="6" operator="lessThan" dxfId="2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/>
  </sheetPr>
  <dimension ref="B1:B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1">
      <c r="B1" s="57" t="inlineStr">
        <is>
          <t>Reference Guide — Formulas, Definitions &amp; How to Use</t>
        </is>
      </c>
    </row>
    <row r="3">
      <c r="B3" s="58" t="inlineStr"/>
    </row>
    <row r="4">
      <c r="B4" s="59" t="inlineStr">
        <is>
          <t>How to Use This Workbook</t>
        </is>
      </c>
    </row>
    <row r="5">
      <c r="B5" s="58" t="inlineStr">
        <is>
          <t>1. Enter specifications (Tₘ, LSL, USL) in the Analysis sheet (blue cells)</t>
        </is>
      </c>
    </row>
    <row r="6">
      <c r="B6" s="58" t="inlineStr">
        <is>
          <t>2. Choose Mode: 'Enter Manually' or 'Use Data Worksheet' (dropdown in C10)</t>
        </is>
      </c>
    </row>
    <row r="7">
      <c r="B7" s="58" t="inlineStr">
        <is>
          <t>3. If Manual: enter x̄, σ, n directly in the Analysis sheet</t>
        </is>
      </c>
    </row>
    <row r="8">
      <c r="B8" s="58" t="inlineStr">
        <is>
          <t>4. If Worksheet: enter part data in the Data sheet — mean &amp; σ auto-link</t>
        </is>
      </c>
    </row>
    <row r="9">
      <c r="B9" s="58" t="inlineStr">
        <is>
          <t>5. All results, probability, hypothesis test, and verdict update INSTANTLY</t>
        </is>
      </c>
    </row>
    <row r="10">
      <c r="B10" s="58" t="inlineStr">
        <is>
          <t>6. View charts in the Charts sheet (bell curve + capability bars)</t>
        </is>
      </c>
    </row>
    <row r="11">
      <c r="B11" s="58" t="inlineStr">
        <is>
          <t>7. To save a run: go to History sheet, copy Row 4, paste as VALUES into Row 5+</t>
        </is>
      </c>
    </row>
    <row r="12">
      <c r="B12" s="58" t="inlineStr"/>
    </row>
    <row r="13">
      <c r="B13" s="59" t="inlineStr">
        <is>
          <t>Core Capability Formulas</t>
        </is>
      </c>
    </row>
    <row r="14">
      <c r="B14" s="58" t="inlineStr">
        <is>
          <t xml:space="preserve">  Cp = (USL − LSL) / 6σ  — Potential capability if process is perfectly centered</t>
        </is>
      </c>
    </row>
    <row r="15">
      <c r="B15" s="58" t="inlineStr">
        <is>
          <t xml:space="preserve">  Cpk = min[(USL − x̄) / 3σ,  (x̄ − LSL) / 3σ]  — Actual capability with centering error</t>
        </is>
      </c>
    </row>
    <row r="16">
      <c r="B16" s="58" t="inlineStr">
        <is>
          <t xml:space="preserve">  Required Shift (Δ) = Tₘ − x̄  — How far to adjust the process mean</t>
        </is>
      </c>
    </row>
    <row r="17">
      <c r="B17" s="58" t="inlineStr">
        <is>
          <t xml:space="preserve">  Required Tolerance = Target Index × 6σ  — Minimum tolerance band needed</t>
        </is>
      </c>
    </row>
    <row r="18">
      <c r="B18" s="58" t="inlineStr"/>
    </row>
    <row r="19">
      <c r="B19" s="59" t="inlineStr">
        <is>
          <t>Capability Index Interpretation (Automotive Standards)</t>
        </is>
      </c>
    </row>
    <row r="20">
      <c r="B20" s="58" t="inlineStr">
        <is>
          <t xml:space="preserve">  Cpk ≥ 1.67  →  ✅ GOOD — Capable (standard automotive target)</t>
        </is>
      </c>
    </row>
    <row r="21">
      <c r="B21" s="58" t="inlineStr">
        <is>
          <t xml:space="preserve">  1.33 ≤ Cpk &lt; 1.67  →  ⚠ ACCEPTABLE — Meets minimum but below target</t>
        </is>
      </c>
    </row>
    <row r="22">
      <c r="B22" s="58" t="inlineStr">
        <is>
          <t xml:space="preserve">  1.00 ≤ Cpk &lt; 1.33  →  ⚠ MARGINAL — High risk, improvement needed</t>
        </is>
      </c>
    </row>
    <row r="23">
      <c r="B23" s="58" t="inlineStr">
        <is>
          <t xml:space="preserve">  Cpk &lt; 1.00  →  ❌ NOT CAPABLE — Produces significant defects</t>
        </is>
      </c>
    </row>
    <row r="24">
      <c r="B24" s="58" t="inlineStr"/>
    </row>
    <row r="25">
      <c r="B25" s="59" t="inlineStr">
        <is>
          <t>Probability &amp; PPM</t>
        </is>
      </c>
    </row>
    <row r="26">
      <c r="B26" s="58" t="inlineStr">
        <is>
          <t xml:space="preserve">  P(x &gt; USL) — Probability a part exceeds upper spec limit</t>
        </is>
      </c>
    </row>
    <row r="27">
      <c r="B27" s="58" t="inlineStr">
        <is>
          <t xml:space="preserve">  P(x &lt; LSL) — Probability a part falls below lower spec limit</t>
        </is>
      </c>
    </row>
    <row r="28">
      <c r="B28" s="58" t="inlineStr">
        <is>
          <t xml:space="preserve">  PPM = Probability × 1,000,000 — Parts Per Million defective</t>
        </is>
      </c>
    </row>
    <row r="29">
      <c r="B29" s="58" t="inlineStr"/>
    </row>
    <row r="30">
      <c r="B30" s="59" t="inlineStr">
        <is>
          <t>Hypothesis Testing</t>
        </is>
      </c>
    </row>
    <row r="31">
      <c r="B31" s="58" t="inlineStr">
        <is>
          <t xml:space="preserve">  H₀: μ = Tₘ (process is on target)</t>
        </is>
      </c>
    </row>
    <row r="32">
      <c r="B32" s="58" t="inlineStr">
        <is>
          <t xml:space="preserve">  Z = (x̄ − Tₘ) / (σ / √n)</t>
        </is>
      </c>
    </row>
    <row r="33">
      <c r="B33" s="58" t="inlineStr">
        <is>
          <t xml:space="preserve">  p-value &lt; α → Reject H₀ → Significant shift detected</t>
        </is>
      </c>
    </row>
    <row r="34">
      <c r="B34" s="58" t="inlineStr">
        <is>
          <t xml:space="preserve">  p-value ≥ α → Fail to Reject H₀ → No significant shift</t>
        </is>
      </c>
    </row>
    <row r="35">
      <c r="B35" s="58" t="inlineStr">
        <is>
          <t xml:space="preserve">  Two-Sided: tests if mean differs in either direction</t>
        </is>
      </c>
    </row>
    <row r="36">
      <c r="B36" s="58" t="inlineStr">
        <is>
          <t xml:space="preserve">  Upper-Sided: tests if mean is significantly above target</t>
        </is>
      </c>
    </row>
    <row r="37">
      <c r="B37" s="58" t="inlineStr">
        <is>
          <t xml:space="preserve">  Lower-Sided: tests if mean is significantly below target</t>
        </is>
      </c>
    </row>
    <row r="38">
      <c r="B38" s="58" t="inlineStr"/>
    </row>
    <row r="39">
      <c r="B39" s="59" t="inlineStr">
        <is>
          <t>Robustness Assessment</t>
        </is>
      </c>
    </row>
    <row r="40">
      <c r="B40" s="58" t="inlineStr">
        <is>
          <t xml:space="preserve">  ROBUST: ±4σ spread contained within specification limits</t>
        </is>
      </c>
    </row>
    <row r="41">
      <c r="B41" s="58" t="inlineStr">
        <is>
          <t xml:space="preserve">  MARGINAL: ±3σ contained but ±4σ is NOT — low tolerance for future shifts</t>
        </is>
      </c>
    </row>
    <row r="42">
      <c r="B42" s="58" t="inlineStr">
        <is>
          <t xml:space="preserve">  NOT ROBUST: ±3σ breaches specification limits</t>
        </is>
      </c>
    </row>
    <row r="43">
      <c r="B43" s="58" t="inlineStr"/>
    </row>
    <row r="44">
      <c r="B44" s="59" t="inlineStr">
        <is>
          <t>Spread Metrics</t>
        </is>
      </c>
    </row>
    <row r="45">
      <c r="B45" s="58" t="inlineStr">
        <is>
          <t xml:space="preserve">  6σ Spread — Contains ~99.73% of process output (±3σ)</t>
        </is>
      </c>
    </row>
    <row r="46">
      <c r="B46" s="58" t="inlineStr">
        <is>
          <t xml:space="preserve">  8σ Spread — Contains ~99.9937% of process output (±4σ)</t>
        </is>
      </c>
    </row>
    <row r="47">
      <c r="B47" s="58" t="inlineStr"/>
    </row>
    <row r="48">
      <c r="B48" s="59" t="inlineStr">
        <is>
          <t>Color Coding</t>
        </is>
      </c>
    </row>
    <row r="49">
      <c r="B49" s="58" t="inlineStr">
        <is>
          <t xml:space="preserve">  🟢 Green cells = Good / Capable / Within target</t>
        </is>
      </c>
    </row>
    <row r="50">
      <c r="B50" s="58" t="inlineStr">
        <is>
          <t xml:space="preserve">  🟡 Yellow cells = Warning / Marginal</t>
        </is>
      </c>
    </row>
    <row r="51">
      <c r="B51" s="58" t="inlineStr">
        <is>
          <t xml:space="preserve">  🔴 Red cells = Bad / Action Required / Not capable</t>
        </is>
      </c>
    </row>
    <row r="52">
      <c r="B52" s="58" t="inlineStr">
        <is>
          <t xml:space="preserve">  🔵 Blue cells = Input cells (enter your data here)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2026-03-18T04:59:48Z</dcterms:created>
  <dcterms:modified xsi:type="dcterms:W3CDTF">2026-03-18T04:59:49Z</dcterms:modified>
</cp:coreProperties>
</file>